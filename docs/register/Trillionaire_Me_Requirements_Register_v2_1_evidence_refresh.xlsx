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quirements v2" sheetId="3" state="visible" r:id="rId3"/>
    <sheet xmlns:r="http://schemas.openxmlformats.org/officeDocument/2006/relationships" name="Tests v2" sheetId="4" state="visible" r:id="rId4"/>
    <sheet xmlns:r="http://schemas.openxmlformats.org/officeDocument/2006/relationships" name="Intent Register" sheetId="5" state="visible" r:id="rId5"/>
    <sheet xmlns:r="http://schemas.openxmlformats.org/officeDocument/2006/relationships" name="Gate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Deferrals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Visual Refs" sheetId="10" state="visible" r:id="rId10"/>
    <sheet xmlns:r="http://schemas.openxmlformats.org/officeDocument/2006/relationships" name="Change Log" sheetId="11" state="visible" r:id="rId11"/>
  </sheets>
  <definedNames>
    <definedName name="_xlnm._FilterDatabase" localSheetId="2" hidden="1">'Requirements v2'!$A$3:$O$175</definedName>
    <definedName name="_xlnm._FilterDatabase" localSheetId="3" hidden="1">'Tests v2'!$A$3:$K$175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sz val="9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9" min="1" max="1"/>
    <col width="140" customWidth="1" style="9" min="2" max="2"/>
  </cols>
  <sheetData>
    <row r="1" ht="15.75" customHeight="1" s="10">
      <c r="A1" s="11" t="inlineStr">
        <is>
          <t>TRILLIONAIRE ME — REQUIREMENTS REGISTER v2.0 (companion to Canonical Spec v2.0)</t>
        </is>
      </c>
    </row>
    <row r="3" ht="15" customHeight="1" s="10">
      <c r="A3" s="12" t="inlineStr">
        <is>
          <t>Field</t>
        </is>
      </c>
      <c r="B3" s="12" t="inlineStr">
        <is>
          <t>Meaning</t>
        </is>
      </c>
    </row>
    <row r="4" ht="15" customHeight="1" s="10">
      <c r="A4" s="13" t="inlineStr">
        <is>
          <t>Status</t>
        </is>
      </c>
      <c r="B4" s="14" t="inlineStr">
        <is>
          <t>Specification stage. NOTHING is implemented. Every 'Verification' cell = Not verified. No repository, database or app was inspected or built.</t>
        </is>
      </c>
    </row>
    <row r="5" ht="21.75" customHeight="1" s="10">
      <c r="A5" s="13" t="inlineStr">
        <is>
          <t>Authority</t>
        </is>
      </c>
      <c r="B5" s="14" t="inlineStr">
        <is>
          <t>Canonical Spec v2.0 &gt; this Register &gt; v1.x files (history only). Origin tags: U = user's own words · B = user-approved brief · S = original source document (second-hand; 3 originals not attached) · P = later spec/audit rule · I = assistant inference (needs owner confirmation).</t>
        </is>
      </c>
    </row>
    <row r="6" ht="21.75" customHeight="1" s="10">
      <c r="A6" s="13" t="inlineStr">
        <is>
          <t>Priority (R)</t>
        </is>
      </c>
      <c r="B6" s="14" t="inlineStr">
        <is>
          <t>R0 = must pass before the first REAL sensitive data entry or the first external/consequential action that the requirement touches (see 'Must pass before gate'). R1 = must pass before a dependable first release. R2 = later. Separate from v1 'Priority' (kept for history) and from audit severity.</t>
        </is>
      </c>
    </row>
    <row r="7" ht="21.75" customHeight="1" s="10">
      <c r="A7" s="13" t="inlineStr">
        <is>
          <t>Gate</t>
        </is>
      </c>
      <c r="B7" s="14" t="inlineStr">
        <is>
          <t>One vocabulary only: G0 spec freeze · G1 safe shell+field catalog · G2 Android offline prototype · G3 rule-based planner (≈80% without AI) · G4 research/options · G5 Deen content verification · G6 AI/automation · G7 privacy/recovery/real-data · G8 pilot→PC→public decision.</t>
        </is>
      </c>
    </row>
    <row r="8" ht="15" customHeight="1" s="10">
      <c r="A8" s="13" t="inlineStr">
        <is>
          <t>Scope tag</t>
        </is>
      </c>
      <c r="B8" s="14" t="inlineStr">
        <is>
          <t>FIRST-BUILD = first needed in G1–G3. FULL-SCOPE, LATER = needed in the full product at the stated later gate. NOTHING is dropped; deferral reasons are in 'Deferrals'.</t>
        </is>
      </c>
    </row>
    <row r="9" ht="15" customHeight="1" s="10">
      <c r="A9" s="13" t="inlineStr">
        <is>
          <t>Intent link</t>
        </is>
      </c>
      <c r="B9" s="14" t="inlineStr">
        <is>
          <t>Domain-level default mapping to the Intent Register (INT-xx). To be refined row-by-row at G0; new rows (142+) are mapped individually.</t>
        </is>
      </c>
    </row>
    <row r="10" ht="15" customHeight="1" s="10">
      <c r="A10" s="13" t="inlineStr">
        <is>
          <t>Tests</t>
        </is>
      </c>
      <c r="B10" s="14" t="inlineStr">
        <is>
          <t>'Tests v2' replaces all v1 tests. Each has method, threshold, dataset, blocked-by. Human-review rows are gates, not engineering tests. All status = Not run.</t>
        </is>
      </c>
    </row>
    <row r="11" ht="15" customHeight="1" s="10">
      <c r="A11" s="13" t="inlineStr">
        <is>
          <t>Merged rows</t>
        </is>
      </c>
      <c r="B11" s="14" t="inlineStr">
        <is>
          <t>TM-REQ-135 → 126, TM-REQ-141 → 120 (rows kept, marked MERGED, excluded from active counts).</t>
        </is>
      </c>
    </row>
    <row r="12" ht="15" customHeight="1" s="10">
      <c r="A12" s="13" t="inlineStr">
        <is>
          <t>Estimates</t>
        </is>
      </c>
      <c r="B12" s="14" t="inlineStr">
        <is>
          <t>Counts on 'Summary' are formulas over 'Requirements v2'. Nothing here is a time/cost estimate.</t>
        </is>
      </c>
    </row>
    <row r="13" ht="15" customHeight="1" s="10">
      <c r="A13" s="13" t="inlineStr">
        <is>
          <t>Sheets</t>
        </is>
      </c>
      <c r="B13" s="14" t="inlineStr">
        <is>
          <t>Summary · Requirements v2 · Tests v2 · Intent Register · Gates · Decisions · Deferrals · Conflicts · Visual Refs · Change Log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9" min="1" max="1"/>
    <col width="14" customWidth="1" style="9" min="2" max="2"/>
  </cols>
  <sheetData>
    <row r="1" ht="15.75" customHeight="1" s="10">
      <c r="A1" s="11" t="inlineStr">
        <is>
          <t>SUMMARY — live counts (formulas over 'Requirements v2')</t>
        </is>
      </c>
    </row>
    <row r="2" ht="15" customHeight="1" s="10">
      <c r="A2" s="15" t="inlineStr">
        <is>
          <t>Active = not merged. Change a row in 'Requirements v2' and these update.</t>
        </is>
      </c>
    </row>
    <row r="4" ht="15" customHeight="1" s="10">
      <c r="A4" s="16" t="inlineStr">
        <is>
          <t>Total rows</t>
        </is>
      </c>
      <c r="B4" s="16">
        <f>COUNTA('Requirements v2'!A4:A175)</f>
        <v/>
      </c>
    </row>
    <row r="5" ht="15" customHeight="1" s="10">
      <c r="A5" s="16" t="inlineStr">
        <is>
          <t>Merged rows</t>
        </is>
      </c>
      <c r="B5" s="16">
        <f>COUNTIF('Requirements v2'!L4:L175,"MERGED*")</f>
        <v/>
      </c>
    </row>
    <row r="6" ht="15" customHeight="1" s="10">
      <c r="A6" s="16" t="inlineStr">
        <is>
          <t>Active rows</t>
        </is>
      </c>
      <c r="B6" s="16">
        <f>B4-B5</f>
        <v/>
      </c>
    </row>
    <row r="7" ht="15" customHeight="1" s="10">
      <c r="A7" s="16" t="n"/>
      <c r="B7" s="16" t="n"/>
    </row>
    <row r="8" ht="15" customHeight="1" s="10">
      <c r="A8" s="17" t="inlineStr">
        <is>
          <t>By R-priority (all rows)</t>
        </is>
      </c>
      <c r="B8" s="16" t="n"/>
    </row>
    <row r="9" ht="15" customHeight="1" s="10">
      <c r="A9" s="16" t="inlineStr">
        <is>
          <t>R0</t>
        </is>
      </c>
      <c r="B9" s="16">
        <f>COUNTIF('Requirements v2'!F4:F175,A9)</f>
        <v/>
      </c>
    </row>
    <row r="10" ht="15" customHeight="1" s="10">
      <c r="A10" s="16" t="inlineStr">
        <is>
          <t>R1</t>
        </is>
      </c>
      <c r="B10" s="16">
        <f>COUNTIF('Requirements v2'!F4:F175,A10)</f>
        <v/>
      </c>
    </row>
    <row r="11" ht="15" customHeight="1" s="10">
      <c r="A11" s="16" t="inlineStr">
        <is>
          <t>R2</t>
        </is>
      </c>
      <c r="B11" s="16">
        <f>COUNTIF('Requirements v2'!F4:F175,A11)</f>
        <v/>
      </c>
    </row>
    <row r="12" ht="15" customHeight="1" s="10">
      <c r="A12" s="16" t="n"/>
      <c r="B12" s="16" t="n"/>
    </row>
    <row r="13" ht="15" customHeight="1" s="10">
      <c r="A13" s="17" t="inlineStr">
        <is>
          <t>By first-needed gate</t>
        </is>
      </c>
      <c r="B13" s="16" t="n"/>
    </row>
    <row r="14" ht="15" customHeight="1" s="10">
      <c r="A14" s="16" t="inlineStr">
        <is>
          <t>G0</t>
        </is>
      </c>
      <c r="B14" s="16">
        <f>COUNTIF('Requirements v2'!G4:G175,A14)</f>
        <v/>
      </c>
    </row>
    <row r="15" ht="15" customHeight="1" s="10">
      <c r="A15" s="16" t="inlineStr">
        <is>
          <t>G1</t>
        </is>
      </c>
      <c r="B15" s="16">
        <f>COUNTIF('Requirements v2'!G4:G175,A15)</f>
        <v/>
      </c>
    </row>
    <row r="16" ht="15" customHeight="1" s="10">
      <c r="A16" s="16" t="inlineStr">
        <is>
          <t>G2</t>
        </is>
      </c>
      <c r="B16" s="16">
        <f>COUNTIF('Requirements v2'!G4:G175,A16)</f>
        <v/>
      </c>
    </row>
    <row r="17" ht="15" customHeight="1" s="10">
      <c r="A17" s="16" t="inlineStr">
        <is>
          <t>G3</t>
        </is>
      </c>
      <c r="B17" s="16">
        <f>COUNTIF('Requirements v2'!G4:G175,A17)</f>
        <v/>
      </c>
    </row>
    <row r="18" ht="15" customHeight="1" s="10">
      <c r="A18" s="16" t="inlineStr">
        <is>
          <t>G4</t>
        </is>
      </c>
      <c r="B18" s="16">
        <f>COUNTIF('Requirements v2'!G4:G175,A18)</f>
        <v/>
      </c>
    </row>
    <row r="19" ht="15" customHeight="1" s="10">
      <c r="A19" s="16" t="inlineStr">
        <is>
          <t>G5</t>
        </is>
      </c>
      <c r="B19" s="16">
        <f>COUNTIF('Requirements v2'!G4:G175,A19)</f>
        <v/>
      </c>
    </row>
    <row r="20" ht="15" customHeight="1" s="10">
      <c r="A20" s="16" t="inlineStr">
        <is>
          <t>G6</t>
        </is>
      </c>
      <c r="B20" s="16">
        <f>COUNTIF('Requirements v2'!G4:G175,A20)</f>
        <v/>
      </c>
    </row>
    <row r="21" ht="15" customHeight="1" s="10">
      <c r="A21" s="16" t="inlineStr">
        <is>
          <t>G7</t>
        </is>
      </c>
      <c r="B21" s="16">
        <f>COUNTIF('Requirements v2'!G4:G175,A21)</f>
        <v/>
      </c>
    </row>
    <row r="22" ht="15" customHeight="1" s="10">
      <c r="A22" s="16" t="inlineStr">
        <is>
          <t>G8</t>
        </is>
      </c>
      <c r="B22" s="16">
        <f>COUNTIF('Requirements v2'!G4:G175,A22)</f>
        <v/>
      </c>
    </row>
    <row r="23" ht="15" customHeight="1" s="10">
      <c r="A23" s="16" t="n"/>
      <c r="B23" s="16" t="n"/>
    </row>
    <row r="24" ht="15" customHeight="1" s="10">
      <c r="A24" s="17" t="inlineStr">
        <is>
          <t>By must-pass gate</t>
        </is>
      </c>
      <c r="B24" s="16" t="n"/>
    </row>
    <row r="25" ht="15" customHeight="1" s="10">
      <c r="A25" s="16" t="inlineStr">
        <is>
          <t>G0</t>
        </is>
      </c>
      <c r="B25" s="16">
        <f>COUNTIF('Requirements v2'!H4:H175,A25)</f>
        <v/>
      </c>
    </row>
    <row r="26" ht="15" customHeight="1" s="10">
      <c r="A26" s="16" t="inlineStr">
        <is>
          <t>G1</t>
        </is>
      </c>
      <c r="B26" s="16">
        <f>COUNTIF('Requirements v2'!H4:H175,A26)</f>
        <v/>
      </c>
    </row>
    <row r="27" ht="15" customHeight="1" s="10">
      <c r="A27" s="16" t="inlineStr">
        <is>
          <t>G2</t>
        </is>
      </c>
      <c r="B27" s="16">
        <f>COUNTIF('Requirements v2'!H4:H175,A27)</f>
        <v/>
      </c>
    </row>
    <row r="28" ht="15" customHeight="1" s="10">
      <c r="A28" s="16" t="inlineStr">
        <is>
          <t>G3</t>
        </is>
      </c>
      <c r="B28" s="16">
        <f>COUNTIF('Requirements v2'!H4:H175,A28)</f>
        <v/>
      </c>
    </row>
    <row r="29" ht="15" customHeight="1" s="10">
      <c r="A29" s="16" t="inlineStr">
        <is>
          <t>G4</t>
        </is>
      </c>
      <c r="B29" s="16">
        <f>COUNTIF('Requirements v2'!H4:H175,A29)</f>
        <v/>
      </c>
    </row>
    <row r="30" ht="15" customHeight="1" s="10">
      <c r="A30" s="16" t="inlineStr">
        <is>
          <t>G5</t>
        </is>
      </c>
      <c r="B30" s="16">
        <f>COUNTIF('Requirements v2'!H4:H175,A30)</f>
        <v/>
      </c>
    </row>
    <row r="31" ht="15" customHeight="1" s="10">
      <c r="A31" s="16" t="inlineStr">
        <is>
          <t>G6</t>
        </is>
      </c>
      <c r="B31" s="16">
        <f>COUNTIF('Requirements v2'!H4:H175,A31)</f>
        <v/>
      </c>
    </row>
    <row r="32" ht="15" customHeight="1" s="10">
      <c r="A32" s="16" t="inlineStr">
        <is>
          <t>G7</t>
        </is>
      </c>
      <c r="B32" s="16">
        <f>COUNTIF('Requirements v2'!H4:H175,A32)</f>
        <v/>
      </c>
    </row>
    <row r="33" ht="15" customHeight="1" s="10">
      <c r="A33" s="16" t="inlineStr">
        <is>
          <t>G8</t>
        </is>
      </c>
      <c r="B33" s="16">
        <f>COUNTIF('Requirements v2'!H4:H175,A33)</f>
        <v/>
      </c>
    </row>
    <row r="34" ht="15" customHeight="1" s="10">
      <c r="A34" s="16" t="n"/>
      <c r="B34" s="16" t="n"/>
    </row>
    <row r="35" ht="15" customHeight="1" s="10">
      <c r="A35" s="17" t="inlineStr">
        <is>
          <t>By origin (rows containing tag)</t>
        </is>
      </c>
      <c r="B35" s="16" t="n"/>
    </row>
    <row r="36" ht="15" customHeight="1" s="10">
      <c r="A36" s="16" t="inlineStr">
        <is>
          <t>U</t>
        </is>
      </c>
      <c r="B36" s="16">
        <f>COUNTIF('Requirements v2'!D4:D175,"*"&amp;A36&amp;"*")</f>
        <v/>
      </c>
    </row>
    <row r="37" ht="15" customHeight="1" s="10">
      <c r="A37" s="16" t="inlineStr">
        <is>
          <t>B</t>
        </is>
      </c>
      <c r="B37" s="16">
        <f>COUNTIF('Requirements v2'!D4:D175,"*"&amp;A37&amp;"*")</f>
        <v/>
      </c>
    </row>
    <row r="38" ht="15" customHeight="1" s="10">
      <c r="A38" s="16" t="inlineStr">
        <is>
          <t>S</t>
        </is>
      </c>
      <c r="B38" s="16">
        <f>COUNTIF('Requirements v2'!D4:D175,"*"&amp;A38&amp;"*")</f>
        <v/>
      </c>
    </row>
    <row r="39" ht="15" customHeight="1" s="10">
      <c r="A39" s="16" t="inlineStr">
        <is>
          <t>P</t>
        </is>
      </c>
      <c r="B39" s="16">
        <f>COUNTIF('Requirements v2'!D4:D175,"*"&amp;A39&amp;"*")</f>
        <v/>
      </c>
    </row>
    <row r="40" ht="15" customHeight="1" s="10">
      <c r="A40" s="16" t="inlineStr">
        <is>
          <t>I</t>
        </is>
      </c>
      <c r="B40" s="16">
        <f>COUNTIF('Requirements v2'!D4:D175,"*"&amp;A40&amp;"*")</f>
        <v/>
      </c>
    </row>
    <row r="41" ht="15" customHeight="1" s="10">
      <c r="A41" s="16" t="n"/>
      <c r="B41" s="16" t="n"/>
    </row>
    <row r="42" ht="15" customHeight="1" s="10">
      <c r="A42" s="16" t="inlineStr">
        <is>
          <t>Scope: FIRST-BUILD (G1–G3 start)</t>
        </is>
      </c>
      <c r="B42" s="16">
        <f>COUNTIF('Requirements v2'!I4:I175,"FIRST-BUILD*")</f>
        <v/>
      </c>
    </row>
    <row r="43" ht="15" customHeight="1" s="10">
      <c r="A43" s="16" t="inlineStr">
        <is>
          <t>Scope: FULL-SCOPE, LATER</t>
        </is>
      </c>
      <c r="B43" s="16">
        <f>COUNTIF('Requirements v2'!I4:I175,"FULL-SCOPE*")</f>
        <v/>
      </c>
    </row>
    <row r="44" ht="15" customHeight="1" s="10">
      <c r="A44" s="16" t="inlineStr">
        <is>
          <t>Implemented (verified)</t>
        </is>
      </c>
      <c r="B44" s="16">
        <f>COUNTIF('Requirements v2'!O4:O175,"Verified*")</f>
        <v/>
      </c>
    </row>
    <row r="45" ht="15" customHeight="1" s="10">
      <c r="A45" s="16" t="n"/>
      <c r="B45" s="16" t="n"/>
    </row>
    <row r="46" ht="15" customHeight="1" s="10">
      <c r="A46" s="15" t="inlineStr">
        <is>
          <t>Note: origin counts overlap (a row can carry two tags). 'Implemented' = 0 by design at specification stage.</t>
        </is>
      </c>
      <c r="B46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1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9" min="1" max="1"/>
    <col width="24" customWidth="1" style="9" min="2" max="2"/>
    <col width="52" customWidth="1" style="9" min="3" max="3"/>
    <col width="8" customWidth="1" style="9" min="4" max="4"/>
    <col width="16" customWidth="1" style="9" min="5" max="5"/>
    <col width="7" customWidth="1" style="9" min="6" max="6"/>
    <col width="9" customWidth="1" style="9" min="7" max="8"/>
    <col width="22" customWidth="1" style="9" min="9" max="9"/>
    <col width="9" customWidth="1" style="9" min="10" max="10"/>
    <col width="24" customWidth="1" style="9" min="11" max="12"/>
    <col width="11" customWidth="1" style="9" min="13" max="13"/>
    <col width="12" customWidth="1" style="9" min="14" max="14"/>
    <col width="20" customWidth="1" style="9" min="15" max="15"/>
  </cols>
  <sheetData>
    <row r="1" ht="15.75" customHeight="1" s="10">
      <c r="A1" s="11" t="inlineStr">
        <is>
          <t>REQUIREMENTS v2 — 172 rows (170 active, 2 merged)</t>
        </is>
      </c>
    </row>
    <row r="2" ht="15" customHeight="1" s="10">
      <c r="A2" s="15" t="inlineStr">
        <is>
          <t>Filter by Gate / R / Origin / Domain. 'Implementation verification' = Not verified for all rows.</t>
        </is>
      </c>
    </row>
    <row r="3" ht="45.75" customHeight="1" s="10">
      <c r="A3" s="12" t="inlineStr">
        <is>
          <t>Req ID</t>
        </is>
      </c>
      <c r="B3" s="12" t="inlineStr">
        <is>
          <t>Domain</t>
        </is>
      </c>
      <c r="C3" s="12" t="inlineStr">
        <is>
          <t>Requirement</t>
        </is>
      </c>
      <c r="D3" s="12" t="inlineStr">
        <is>
          <t>Origin</t>
        </is>
      </c>
      <c r="E3" s="12" t="inlineStr">
        <is>
          <t>Intent link</t>
        </is>
      </c>
      <c r="F3" s="12" t="inlineStr">
        <is>
          <t>R (v2)</t>
        </is>
      </c>
      <c r="G3" s="12" t="inlineStr">
        <is>
          <t>First needed gate</t>
        </is>
      </c>
      <c r="H3" s="12" t="inlineStr">
        <is>
          <t>Must pass before gate</t>
        </is>
      </c>
      <c r="I3" s="12" t="inlineStr">
        <is>
          <t>Scope tag</t>
        </is>
      </c>
      <c r="J3" s="12" t="inlineStr">
        <is>
          <t>v1 priority</t>
        </is>
      </c>
      <c r="K3" s="12" t="inlineStr">
        <is>
          <t>v1 coverage status</t>
        </is>
      </c>
      <c r="L3" s="12" t="inlineStr">
        <is>
          <t>Merge / cross-link</t>
        </is>
      </c>
      <c r="M3" s="12" t="inlineStr">
        <is>
          <t>Blocked by decision</t>
        </is>
      </c>
      <c r="N3" s="12" t="inlineStr">
        <is>
          <t>Test ID</t>
        </is>
      </c>
      <c r="O3" s="12" t="inlineStr">
        <is>
          <t>Implementation verification</t>
        </is>
      </c>
    </row>
    <row r="4" ht="15" customHeight="1" s="10">
      <c r="A4" s="14" t="inlineStr">
        <is>
          <t>TM-REQ-001</t>
        </is>
      </c>
      <c r="B4" s="14" t="inlineStr">
        <is>
          <t>Governance &amp; outcomes</t>
        </is>
      </c>
      <c r="C4" s="14" t="inlineStr">
        <is>
          <t>Define what “Trillionaire” means for each target</t>
        </is>
      </c>
      <c r="D4" s="14" t="inlineStr">
        <is>
          <t>P+B</t>
        </is>
      </c>
      <c r="E4" s="14" t="inlineStr">
        <is>
          <t>INT-27,INT-09</t>
        </is>
      </c>
      <c r="F4" s="14" t="inlineStr">
        <is>
          <t>R0</t>
        </is>
      </c>
      <c r="G4" s="14" t="inlineStr">
        <is>
          <t>G1</t>
        </is>
      </c>
      <c r="H4" s="14" t="inlineStr">
        <is>
          <t>G3</t>
        </is>
      </c>
      <c r="I4" s="14" t="inlineStr">
        <is>
          <t>FIRST-BUILD (G1-G3)</t>
        </is>
      </c>
      <c r="J4" s="14" t="inlineStr">
        <is>
          <t>P0</t>
        </is>
      </c>
      <c r="K4" s="14" t="inlineStr">
        <is>
          <t>Decision required</t>
        </is>
      </c>
      <c r="L4" s="14" t="n"/>
      <c r="M4" s="14" t="n"/>
      <c r="N4" s="14" t="inlineStr">
        <is>
          <t>TM-TST-001</t>
        </is>
      </c>
      <c r="O4" s="14" t="inlineStr">
        <is>
          <t>Not verified — no build</t>
        </is>
      </c>
    </row>
    <row r="5" ht="15" customHeight="1" s="10">
      <c r="A5" s="14" t="inlineStr">
        <is>
          <t>TM-REQ-002</t>
        </is>
      </c>
      <c r="B5" s="14" t="inlineStr">
        <is>
          <t>Governance &amp; outcomes</t>
        </is>
      </c>
      <c r="C5" s="14" t="inlineStr">
        <is>
          <t>Keep multiple north-star outcomes separate</t>
        </is>
      </c>
      <c r="D5" s="14" t="inlineStr">
        <is>
          <t>P</t>
        </is>
      </c>
      <c r="E5" s="14" t="inlineStr">
        <is>
          <t>INT-27,INT-09</t>
        </is>
      </c>
      <c r="F5" s="14" t="inlineStr">
        <is>
          <t>R0</t>
        </is>
      </c>
      <c r="G5" s="14" t="inlineStr">
        <is>
          <t>G1</t>
        </is>
      </c>
      <c r="H5" s="14" t="inlineStr">
        <is>
          <t>G3</t>
        </is>
      </c>
      <c r="I5" s="14" t="inlineStr">
        <is>
          <t>FIRST-BUILD (G1-G3)</t>
        </is>
      </c>
      <c r="J5" s="14" t="inlineStr">
        <is>
          <t>P0</t>
        </is>
      </c>
      <c r="K5" s="14" t="inlineStr">
        <is>
          <t>Partial—gap remains</t>
        </is>
      </c>
      <c r="L5" s="14" t="n"/>
      <c r="M5" s="14" t="n"/>
      <c r="N5" s="14" t="inlineStr">
        <is>
          <t>TM-TST-002</t>
        </is>
      </c>
      <c r="O5" s="14" t="inlineStr">
        <is>
          <t>Not verified — no build</t>
        </is>
      </c>
    </row>
    <row r="6" ht="21.75" customHeight="1" s="10">
      <c r="A6" s="14" t="inlineStr">
        <is>
          <t>TM-REQ-003</t>
        </is>
      </c>
      <c r="B6" s="14" t="inlineStr">
        <is>
          <t>Governance &amp; outcomes</t>
        </is>
      </c>
      <c r="C6" s="14" t="inlineStr">
        <is>
          <t>Respect the user's value hierarchy, including Deen/Akhirah</t>
        </is>
      </c>
      <c r="D6" s="14" t="inlineStr">
        <is>
          <t>U+B</t>
        </is>
      </c>
      <c r="E6" s="14" t="inlineStr">
        <is>
          <t>INT-27,INT-09</t>
        </is>
      </c>
      <c r="F6" s="14" t="inlineStr">
        <is>
          <t>R1</t>
        </is>
      </c>
      <c r="G6" s="14" t="inlineStr">
        <is>
          <t>G1</t>
        </is>
      </c>
      <c r="H6" s="14" t="inlineStr">
        <is>
          <t>G3</t>
        </is>
      </c>
      <c r="I6" s="14" t="inlineStr">
        <is>
          <t>FIRST-BUILD (G1-G3)</t>
        </is>
      </c>
      <c r="J6" s="14" t="inlineStr">
        <is>
          <t>P0</t>
        </is>
      </c>
      <c r="K6" s="14" t="inlineStr">
        <is>
          <t>Documented—implementation unverified</t>
        </is>
      </c>
      <c r="L6" s="14" t="n"/>
      <c r="M6" s="14" t="n"/>
      <c r="N6" s="14" t="inlineStr">
        <is>
          <t>TM-TST-003</t>
        </is>
      </c>
      <c r="O6" s="14" t="inlineStr">
        <is>
          <t>Verified for G1 scope (automated evidence) — see Tests v2</t>
        </is>
      </c>
    </row>
    <row r="7" ht="21.75" customHeight="1" s="10">
      <c r="A7" s="14" t="inlineStr">
        <is>
          <t>TM-REQ-004</t>
        </is>
      </c>
      <c r="B7" s="14" t="inlineStr">
        <is>
          <t>Governance &amp; outcomes</t>
        </is>
      </c>
      <c r="C7" s="14" t="inlineStr">
        <is>
          <t>Do not guarantee extreme wealth, investment returns or success</t>
        </is>
      </c>
      <c r="D7" s="14" t="inlineStr">
        <is>
          <t>P</t>
        </is>
      </c>
      <c r="E7" s="14" t="inlineStr">
        <is>
          <t>INT-27,INT-09</t>
        </is>
      </c>
      <c r="F7" s="14" t="inlineStr">
        <is>
          <t>R0</t>
        </is>
      </c>
      <c r="G7" s="14" t="inlineStr">
        <is>
          <t>G1</t>
        </is>
      </c>
      <c r="H7" s="14" t="inlineStr">
        <is>
          <t>G3</t>
        </is>
      </c>
      <c r="I7" s="14" t="inlineStr">
        <is>
          <t>FIRST-BUILD (G1-G3)</t>
        </is>
      </c>
      <c r="J7" s="14" t="inlineStr">
        <is>
          <t>P0</t>
        </is>
      </c>
      <c r="K7" s="14" t="inlineStr">
        <is>
          <t>Documented—implementation unverified</t>
        </is>
      </c>
      <c r="L7" s="14" t="n"/>
      <c r="M7" s="14" t="n"/>
      <c r="N7" s="14" t="inlineStr">
        <is>
          <t>TM-TST-004</t>
        </is>
      </c>
      <c r="O7" s="14" t="inlineStr">
        <is>
          <t>Not verified — no build</t>
        </is>
      </c>
    </row>
    <row r="8" ht="15" customHeight="1" s="10">
      <c r="A8" s="14" t="inlineStr">
        <is>
          <t>TM-REQ-005</t>
        </is>
      </c>
      <c r="B8" s="14" t="inlineStr">
        <is>
          <t>Governance &amp; outcomes</t>
        </is>
      </c>
      <c r="C8" s="14" t="inlineStr">
        <is>
          <t>Treat old starting cash as an unverified historical claim</t>
        </is>
      </c>
      <c r="D8" s="14" t="inlineStr">
        <is>
          <t>P</t>
        </is>
      </c>
      <c r="E8" s="14" t="inlineStr">
        <is>
          <t>INT-27,INT-09</t>
        </is>
      </c>
      <c r="F8" s="14" t="inlineStr">
        <is>
          <t>R0</t>
        </is>
      </c>
      <c r="G8" s="14" t="inlineStr">
        <is>
          <t>G0</t>
        </is>
      </c>
      <c r="H8" s="14" t="inlineStr">
        <is>
          <t>G1</t>
        </is>
      </c>
      <c r="I8" s="14" t="inlineStr">
        <is>
          <t>FIRST-BUILD (G1-G3)</t>
        </is>
      </c>
      <c r="J8" s="14" t="inlineStr">
        <is>
          <t>P0</t>
        </is>
      </c>
      <c r="K8" s="14" t="inlineStr">
        <is>
          <t>Source conflict / stale-risk</t>
        </is>
      </c>
      <c r="L8" s="14" t="n"/>
      <c r="M8" s="14" t="n"/>
      <c r="N8" s="14" t="inlineStr">
        <is>
          <t>TM-TST-005</t>
        </is>
      </c>
      <c r="O8" s="14" t="inlineStr">
        <is>
          <t>Not verified — no build</t>
        </is>
      </c>
    </row>
    <row r="9" ht="21.75" customHeight="1" s="10">
      <c r="A9" s="14" t="inlineStr">
        <is>
          <t>TM-REQ-006</t>
        </is>
      </c>
      <c r="B9" s="14" t="inlineStr">
        <is>
          <t>Governance &amp; outcomes</t>
        </is>
      </c>
      <c r="C9" s="14" t="inlineStr">
        <is>
          <t>Separate facts, estimates, assumptions, inferences and external evidence</t>
        </is>
      </c>
      <c r="D9" s="14" t="inlineStr">
        <is>
          <t>P</t>
        </is>
      </c>
      <c r="E9" s="14" t="inlineStr">
        <is>
          <t>INT-27,INT-09</t>
        </is>
      </c>
      <c r="F9" s="14" t="inlineStr">
        <is>
          <t>R0</t>
        </is>
      </c>
      <c r="G9" s="14" t="inlineStr">
        <is>
          <t>G1</t>
        </is>
      </c>
      <c r="H9" s="14" t="inlineStr">
        <is>
          <t>G1</t>
        </is>
      </c>
      <c r="I9" s="14" t="inlineStr">
        <is>
          <t>FIRST-BUILD (G1-G3)</t>
        </is>
      </c>
      <c r="J9" s="14" t="inlineStr">
        <is>
          <t>P0</t>
        </is>
      </c>
      <c r="K9" s="14" t="inlineStr">
        <is>
          <t>Documented—implementation unverified</t>
        </is>
      </c>
      <c r="L9" s="14" t="n"/>
      <c r="M9" s="14" t="n"/>
      <c r="N9" s="14" t="inlineStr">
        <is>
          <t>TM-TST-006</t>
        </is>
      </c>
      <c r="O9" s="14" t="inlineStr">
        <is>
          <t>Verified for G1 scope (automated evidence) — see Tests v2</t>
        </is>
      </c>
    </row>
    <row r="10" ht="15" customHeight="1" s="10">
      <c r="A10" s="14" t="inlineStr">
        <is>
          <t>TM-REQ-007</t>
        </is>
      </c>
      <c r="B10" s="14" t="inlineStr">
        <is>
          <t>Governance &amp; outcomes</t>
        </is>
      </c>
      <c r="C10" s="14" t="inlineStr">
        <is>
          <t>Maintain source freshness and history</t>
        </is>
      </c>
      <c r="D10" s="14" t="inlineStr">
        <is>
          <t>P</t>
        </is>
      </c>
      <c r="E10" s="14" t="inlineStr">
        <is>
          <t>INT-27,INT-09</t>
        </is>
      </c>
      <c r="F10" s="14" t="inlineStr">
        <is>
          <t>R1</t>
        </is>
      </c>
      <c r="G10" s="14" t="inlineStr">
        <is>
          <t>G4</t>
        </is>
      </c>
      <c r="H10" s="14" t="inlineStr">
        <is>
          <t>G4</t>
        </is>
      </c>
      <c r="I10" s="14" t="inlineStr">
        <is>
          <t>FULL-SCOPE, LATER (G4)</t>
        </is>
      </c>
      <c r="J10" s="14" t="inlineStr">
        <is>
          <t>P1</t>
        </is>
      </c>
      <c r="K10" s="14" t="inlineStr">
        <is>
          <t>Partial—gap remains</t>
        </is>
      </c>
      <c r="L10" s="14" t="n"/>
      <c r="M10" s="14" t="n"/>
      <c r="N10" s="14" t="inlineStr">
        <is>
          <t>TM-TST-007</t>
        </is>
      </c>
      <c r="O10" s="14" t="inlineStr">
        <is>
          <t>Not verified — no build</t>
        </is>
      </c>
    </row>
    <row r="11" ht="21.75" customHeight="1" s="10">
      <c r="A11" s="14" t="inlineStr">
        <is>
          <t>TM-REQ-008</t>
        </is>
      </c>
      <c r="B11" s="14" t="inlineStr">
        <is>
          <t>Governance &amp; outcomes</t>
        </is>
      </c>
      <c r="C11" s="14" t="inlineStr">
        <is>
          <t>Preserve a decision log and plan versions</t>
        </is>
      </c>
      <c r="D11" s="14" t="inlineStr">
        <is>
          <t>P</t>
        </is>
      </c>
      <c r="E11" s="14" t="inlineStr">
        <is>
          <t>INT-27,INT-09</t>
        </is>
      </c>
      <c r="F11" s="14" t="inlineStr">
        <is>
          <t>R1</t>
        </is>
      </c>
      <c r="G11" s="14" t="inlineStr">
        <is>
          <t>G3</t>
        </is>
      </c>
      <c r="H11" s="14" t="inlineStr">
        <is>
          <t>G3</t>
        </is>
      </c>
      <c r="I11" s="14" t="inlineStr">
        <is>
          <t>FIRST-BUILD (G1-G3)</t>
        </is>
      </c>
      <c r="J11" s="14" t="inlineStr">
        <is>
          <t>P1</t>
        </is>
      </c>
      <c r="K11" s="14" t="inlineStr">
        <is>
          <t>Documented—implementation unverified</t>
        </is>
      </c>
      <c r="L11" s="14" t="n"/>
      <c r="M11" s="14" t="n"/>
      <c r="N11" s="14" t="inlineStr">
        <is>
          <t>TM-TST-008</t>
        </is>
      </c>
      <c r="O11" s="14" t="inlineStr">
        <is>
          <t>Not verified — no build</t>
        </is>
      </c>
    </row>
    <row r="12" ht="15" customHeight="1" s="10">
      <c r="A12" s="14" t="inlineStr">
        <is>
          <t>TM-REQ-009</t>
        </is>
      </c>
      <c r="B12" s="14" t="inlineStr">
        <is>
          <t>Governance &amp; outcomes</t>
        </is>
      </c>
      <c r="C12" s="14" t="inlineStr">
        <is>
          <t>Support no-deadline, paused and retired goals</t>
        </is>
      </c>
      <c r="D12" s="14" t="inlineStr">
        <is>
          <t>P</t>
        </is>
      </c>
      <c r="E12" s="14" t="inlineStr">
        <is>
          <t>INT-27,INT-09</t>
        </is>
      </c>
      <c r="F12" s="14" t="inlineStr">
        <is>
          <t>R1</t>
        </is>
      </c>
      <c r="G12" s="14" t="inlineStr">
        <is>
          <t>G3</t>
        </is>
      </c>
      <c r="H12" s="14" t="inlineStr">
        <is>
          <t>G3</t>
        </is>
      </c>
      <c r="I12" s="14" t="inlineStr">
        <is>
          <t>FIRST-BUILD (G1-G3)</t>
        </is>
      </c>
      <c r="J12" s="14" t="inlineStr">
        <is>
          <t>P1</t>
        </is>
      </c>
      <c r="K12" s="14" t="inlineStr">
        <is>
          <t>Partial—gap remains</t>
        </is>
      </c>
      <c r="L12" s="14" t="n"/>
      <c r="M12" s="14" t="n"/>
      <c r="N12" s="14" t="inlineStr">
        <is>
          <t>TM-TST-009</t>
        </is>
      </c>
      <c r="O12" s="14" t="inlineStr">
        <is>
          <t>Not verified — no build</t>
        </is>
      </c>
    </row>
    <row r="13" ht="21.75" customHeight="1" s="10">
      <c r="A13" s="14" t="inlineStr">
        <is>
          <t>TM-REQ-010</t>
        </is>
      </c>
      <c r="B13" s="14" t="inlineStr">
        <is>
          <t>Starting-point profile</t>
        </is>
      </c>
      <c r="C13" s="14" t="inlineStr">
        <is>
          <t>Progressive guided intake, not one giant form</t>
        </is>
      </c>
      <c r="D13" s="14" t="inlineStr">
        <is>
          <t>S</t>
        </is>
      </c>
      <c r="E13" s="14" t="inlineStr">
        <is>
          <t>INT-04,INT-10</t>
        </is>
      </c>
      <c r="F13" s="14" t="inlineStr">
        <is>
          <t>R1</t>
        </is>
      </c>
      <c r="G13" s="14" t="inlineStr">
        <is>
          <t>G1</t>
        </is>
      </c>
      <c r="H13" s="14" t="inlineStr">
        <is>
          <t>G1</t>
        </is>
      </c>
      <c r="I13" s="14" t="inlineStr">
        <is>
          <t>FIRST-BUILD (G1-G3)</t>
        </is>
      </c>
      <c r="J13" s="14" t="inlineStr">
        <is>
          <t>P0</t>
        </is>
      </c>
      <c r="K13" s="14" t="inlineStr">
        <is>
          <t>Documented—implementation unverified</t>
        </is>
      </c>
      <c r="L13" s="14" t="n"/>
      <c r="M13" s="14" t="n"/>
      <c r="N13" s="14" t="inlineStr">
        <is>
          <t>TM-TST-010</t>
        </is>
      </c>
      <c r="O13" s="14" t="inlineStr">
        <is>
          <t>Partial — automated part passes; manual/human gate pending — see Tests v2</t>
        </is>
      </c>
    </row>
    <row r="14" ht="15" customHeight="1" s="10">
      <c r="A14" s="14" t="inlineStr">
        <is>
          <t>TM-REQ-011</t>
        </is>
      </c>
      <c r="B14" s="14" t="inlineStr">
        <is>
          <t>Starting-point profile</t>
        </is>
      </c>
      <c r="C14" s="14" t="inlineStr">
        <is>
          <t>Personal identity, locale and time settings</t>
        </is>
      </c>
      <c r="D14" s="14" t="inlineStr">
        <is>
          <t>S</t>
        </is>
      </c>
      <c r="E14" s="14" t="inlineStr">
        <is>
          <t>INT-04,INT-10</t>
        </is>
      </c>
      <c r="F14" s="14" t="inlineStr">
        <is>
          <t>R1</t>
        </is>
      </c>
      <c r="G14" s="14" t="inlineStr">
        <is>
          <t>G1</t>
        </is>
      </c>
      <c r="H14" s="14" t="inlineStr">
        <is>
          <t>G2</t>
        </is>
      </c>
      <c r="I14" s="14" t="inlineStr">
        <is>
          <t>FIRST-BUILD (G1-G3)</t>
        </is>
      </c>
      <c r="J14" s="14" t="inlineStr">
        <is>
          <t>P1</t>
        </is>
      </c>
      <c r="K14" s="14" t="inlineStr">
        <is>
          <t>Partial—gap remains</t>
        </is>
      </c>
      <c r="L14" s="14" t="n"/>
      <c r="M14" s="14" t="n"/>
      <c r="N14" s="14" t="inlineStr">
        <is>
          <t>TM-TST-011</t>
        </is>
      </c>
      <c r="O14" s="14" t="inlineStr">
        <is>
          <t>Not verified — no build</t>
        </is>
      </c>
    </row>
    <row r="15" ht="21.75" customHeight="1" s="10">
      <c r="A15" s="14" t="inlineStr">
        <is>
          <t>TM-REQ-012</t>
        </is>
      </c>
      <c r="B15" s="14" t="inlineStr">
        <is>
          <t>Starting-point profile</t>
        </is>
      </c>
      <c r="C15" s="14" t="inlineStr">
        <is>
          <t>Education, experience and credentials</t>
        </is>
      </c>
      <c r="D15" s="14" t="inlineStr">
        <is>
          <t>S</t>
        </is>
      </c>
      <c r="E15" s="14" t="inlineStr">
        <is>
          <t>INT-04,INT-10</t>
        </is>
      </c>
      <c r="F15" s="14" t="inlineStr">
        <is>
          <t>R1</t>
        </is>
      </c>
      <c r="G15" s="14" t="inlineStr">
        <is>
          <t>G1</t>
        </is>
      </c>
      <c r="H15" s="14" t="inlineStr">
        <is>
          <t>G3</t>
        </is>
      </c>
      <c r="I15" s="14" t="inlineStr">
        <is>
          <t>FIRST-BUILD (G1-G3)</t>
        </is>
      </c>
      <c r="J15" s="14" t="inlineStr">
        <is>
          <t>P1</t>
        </is>
      </c>
      <c r="K15" s="14" t="inlineStr">
        <is>
          <t>Documented—implementation unverified</t>
        </is>
      </c>
      <c r="L15" s="14" t="n"/>
      <c r="M15" s="14" t="n"/>
      <c r="N15" s="14" t="inlineStr">
        <is>
          <t>TM-TST-012</t>
        </is>
      </c>
      <c r="O15" s="14" t="inlineStr">
        <is>
          <t>Not verified — no build</t>
        </is>
      </c>
    </row>
    <row r="16" ht="15" customHeight="1" s="10">
      <c r="A16" s="14" t="inlineStr">
        <is>
          <t>TM-REQ-013</t>
        </is>
      </c>
      <c r="B16" s="14" t="inlineStr">
        <is>
          <t>Starting-point profile</t>
        </is>
      </c>
      <c r="C16" s="14" t="inlineStr">
        <is>
          <t>Skill inventory with proficiency and evidence</t>
        </is>
      </c>
      <c r="D16" s="14" t="inlineStr">
        <is>
          <t>S</t>
        </is>
      </c>
      <c r="E16" s="14" t="inlineStr">
        <is>
          <t>INT-04,INT-10</t>
        </is>
      </c>
      <c r="F16" s="14" t="inlineStr">
        <is>
          <t>R1</t>
        </is>
      </c>
      <c r="G16" s="14" t="inlineStr">
        <is>
          <t>G1</t>
        </is>
      </c>
      <c r="H16" s="14" t="inlineStr">
        <is>
          <t>G3</t>
        </is>
      </c>
      <c r="I16" s="14" t="inlineStr">
        <is>
          <t>FIRST-BUILD (G1-G3)</t>
        </is>
      </c>
      <c r="J16" s="14" t="inlineStr">
        <is>
          <t>P1</t>
        </is>
      </c>
      <c r="K16" s="14" t="inlineStr">
        <is>
          <t>Partial—gap remains</t>
        </is>
      </c>
      <c r="L16" s="14" t="n"/>
      <c r="M16" s="14" t="n"/>
      <c r="N16" s="14" t="inlineStr">
        <is>
          <t>TM-TST-013</t>
        </is>
      </c>
      <c r="O16" s="14" t="inlineStr">
        <is>
          <t>Not verified — no build</t>
        </is>
      </c>
    </row>
    <row r="17" ht="15" customHeight="1" s="10">
      <c r="A17" s="14" t="inlineStr">
        <is>
          <t>TM-REQ-014</t>
        </is>
      </c>
      <c r="B17" s="14" t="inlineStr">
        <is>
          <t>Starting-point profile</t>
        </is>
      </c>
      <c r="C17" s="14" t="inlineStr">
        <is>
          <t>Interests, values, preferences and constraints</t>
        </is>
      </c>
      <c r="D17" s="14" t="inlineStr">
        <is>
          <t>S</t>
        </is>
      </c>
      <c r="E17" s="14" t="inlineStr">
        <is>
          <t>INT-04,INT-10</t>
        </is>
      </c>
      <c r="F17" s="14" t="inlineStr">
        <is>
          <t>R1</t>
        </is>
      </c>
      <c r="G17" s="14" t="inlineStr">
        <is>
          <t>G1</t>
        </is>
      </c>
      <c r="H17" s="14" t="inlineStr">
        <is>
          <t>G3</t>
        </is>
      </c>
      <c r="I17" s="14" t="inlineStr">
        <is>
          <t>FIRST-BUILD (G1-G3)</t>
        </is>
      </c>
      <c r="J17" s="14" t="inlineStr">
        <is>
          <t>P1</t>
        </is>
      </c>
      <c r="K17" s="14" t="inlineStr">
        <is>
          <t>Partial—gap remains</t>
        </is>
      </c>
      <c r="L17" s="14" t="n"/>
      <c r="M17" s="14" t="n"/>
      <c r="N17" s="14" t="inlineStr">
        <is>
          <t>TM-TST-014</t>
        </is>
      </c>
      <c r="O17" s="14" t="inlineStr">
        <is>
          <t>Not verified — no build</t>
        </is>
      </c>
    </row>
    <row r="18" ht="15" customHeight="1" s="10">
      <c r="A18" s="14" t="inlineStr">
        <is>
          <t>TM-REQ-015</t>
        </is>
      </c>
      <c r="B18" s="14" t="inlineStr">
        <is>
          <t>Starting-point profile</t>
        </is>
      </c>
      <c r="C18" s="14" t="inlineStr">
        <is>
          <t>Time availability, energy, obligations and calendar</t>
        </is>
      </c>
      <c r="D18" s="14" t="inlineStr">
        <is>
          <t>S</t>
        </is>
      </c>
      <c r="E18" s="14" t="inlineStr">
        <is>
          <t>INT-04,INT-10</t>
        </is>
      </c>
      <c r="F18" s="14" t="inlineStr">
        <is>
          <t>R1</t>
        </is>
      </c>
      <c r="G18" s="14" t="inlineStr">
        <is>
          <t>G1</t>
        </is>
      </c>
      <c r="H18" s="14" t="inlineStr">
        <is>
          <t>G3</t>
        </is>
      </c>
      <c r="I18" s="14" t="inlineStr">
        <is>
          <t>FIRST-BUILD (G1-G3)</t>
        </is>
      </c>
      <c r="J18" s="14" t="inlineStr">
        <is>
          <t>P0</t>
        </is>
      </c>
      <c r="K18" s="14" t="inlineStr">
        <is>
          <t>Partial—gap remains</t>
        </is>
      </c>
      <c r="L18" s="14" t="n"/>
      <c r="M18" s="14" t="n"/>
      <c r="N18" s="14" t="inlineStr">
        <is>
          <t>TM-TST-015</t>
        </is>
      </c>
      <c r="O18" s="14" t="inlineStr">
        <is>
          <t>Not verified — no build</t>
        </is>
      </c>
    </row>
    <row r="19" ht="15" customHeight="1" s="10">
      <c r="A19" s="14" t="inlineStr">
        <is>
          <t>TM-REQ-016</t>
        </is>
      </c>
      <c r="B19" s="14" t="inlineStr">
        <is>
          <t>Starting-point profile</t>
        </is>
      </c>
      <c r="C19" s="14" t="inlineStr">
        <is>
          <t>Family/care responsibilities and professional network</t>
        </is>
      </c>
      <c r="D19" s="14" t="inlineStr">
        <is>
          <t>S</t>
        </is>
      </c>
      <c r="E19" s="14" t="inlineStr">
        <is>
          <t>INT-04,INT-10</t>
        </is>
      </c>
      <c r="F19" s="14" t="inlineStr">
        <is>
          <t>R1</t>
        </is>
      </c>
      <c r="G19" s="14" t="inlineStr">
        <is>
          <t>G1</t>
        </is>
      </c>
      <c r="H19" s="14" t="inlineStr">
        <is>
          <t>G3</t>
        </is>
      </c>
      <c r="I19" s="14" t="inlineStr">
        <is>
          <t>FIRST-BUILD (G1-G3)</t>
        </is>
      </c>
      <c r="J19" s="14" t="inlineStr">
        <is>
          <t>P1</t>
        </is>
      </c>
      <c r="K19" s="14" t="inlineStr">
        <is>
          <t>Partial—gap remains</t>
        </is>
      </c>
      <c r="L19" s="14" t="n"/>
      <c r="M19" s="14" t="n"/>
      <c r="N19" s="14" t="inlineStr">
        <is>
          <t>TM-TST-016</t>
        </is>
      </c>
      <c r="O19" s="14" t="inlineStr">
        <is>
          <t>Not verified — no build</t>
        </is>
      </c>
    </row>
    <row r="20" ht="15" customHeight="1" s="10">
      <c r="A20" s="14" t="inlineStr">
        <is>
          <t>TM-REQ-017</t>
        </is>
      </c>
      <c r="B20" s="14" t="inlineStr">
        <is>
          <t>Starting-point profile</t>
        </is>
      </c>
      <c r="C20" s="14" t="inlineStr">
        <is>
          <t>Health and mental well-being context is optional and bounded</t>
        </is>
      </c>
      <c r="D20" s="14" t="inlineStr">
        <is>
          <t>S</t>
        </is>
      </c>
      <c r="E20" s="14" t="inlineStr">
        <is>
          <t>INT-04,INT-10</t>
        </is>
      </c>
      <c r="F20" s="14" t="inlineStr">
        <is>
          <t>R1</t>
        </is>
      </c>
      <c r="G20" s="14" t="inlineStr">
        <is>
          <t>G1</t>
        </is>
      </c>
      <c r="H20" s="14" t="inlineStr">
        <is>
          <t>G1</t>
        </is>
      </c>
      <c r="I20" s="14" t="inlineStr">
        <is>
          <t>FIRST-BUILD (G1-G3)</t>
        </is>
      </c>
      <c r="J20" s="14" t="inlineStr">
        <is>
          <t>P1</t>
        </is>
      </c>
      <c r="K20" s="14" t="inlineStr">
        <is>
          <t>Partial—gap remains</t>
        </is>
      </c>
      <c r="L20" s="14" t="n"/>
      <c r="M20" s="14" t="n"/>
      <c r="N20" s="14" t="inlineStr">
        <is>
          <t>TM-TST-017</t>
        </is>
      </c>
      <c r="O20" s="14" t="inlineStr">
        <is>
          <t>Verified for G1 scope (automated evidence) — see Tests v2</t>
        </is>
      </c>
    </row>
    <row r="21" ht="15" customHeight="1" s="10">
      <c r="A21" s="14" t="inlineStr">
        <is>
          <t>TM-REQ-018</t>
        </is>
      </c>
      <c r="B21" s="14" t="inlineStr">
        <is>
          <t>Starting-point profile</t>
        </is>
      </c>
      <c r="C21" s="14" t="inlineStr">
        <is>
          <t>Devices, connectivity, literacy and access constraints</t>
        </is>
      </c>
      <c r="D21" s="14" t="inlineStr">
        <is>
          <t>S</t>
        </is>
      </c>
      <c r="E21" s="14" t="inlineStr">
        <is>
          <t>INT-04,INT-10</t>
        </is>
      </c>
      <c r="F21" s="14" t="inlineStr">
        <is>
          <t>R1</t>
        </is>
      </c>
      <c r="G21" s="14" t="inlineStr">
        <is>
          <t>G1</t>
        </is>
      </c>
      <c r="H21" s="14" t="inlineStr">
        <is>
          <t>G2</t>
        </is>
      </c>
      <c r="I21" s="14" t="inlineStr">
        <is>
          <t>FIRST-BUILD (G1-G3)</t>
        </is>
      </c>
      <c r="J21" s="14" t="inlineStr">
        <is>
          <t>P1</t>
        </is>
      </c>
      <c r="K21" s="14" t="inlineStr">
        <is>
          <t>Partial—gap remains</t>
        </is>
      </c>
      <c r="L21" s="14" t="n"/>
      <c r="M21" s="14" t="n"/>
      <c r="N21" s="14" t="inlineStr">
        <is>
          <t>TM-TST-018</t>
        </is>
      </c>
      <c r="O21" s="14" t="inlineStr">
        <is>
          <t>Not verified — no build</t>
        </is>
      </c>
    </row>
    <row r="22" ht="15" customHeight="1" s="10">
      <c r="A22" s="14" t="inlineStr">
        <is>
          <t>TM-REQ-019</t>
        </is>
      </c>
      <c r="B22" s="14" t="inlineStr">
        <is>
          <t>Starting-point profile</t>
        </is>
      </c>
      <c r="C22" s="14" t="inlineStr">
        <is>
          <t>Existing legal, contractual and regulatory constraints</t>
        </is>
      </c>
      <c r="D22" s="14" t="inlineStr">
        <is>
          <t>S</t>
        </is>
      </c>
      <c r="E22" s="14" t="inlineStr">
        <is>
          <t>INT-04,INT-10</t>
        </is>
      </c>
      <c r="F22" s="14" t="inlineStr">
        <is>
          <t>R1</t>
        </is>
      </c>
      <c r="G22" s="14" t="inlineStr">
        <is>
          <t>G4</t>
        </is>
      </c>
      <c r="H22" s="14" t="inlineStr">
        <is>
          <t>G4</t>
        </is>
      </c>
      <c r="I22" s="14" t="inlineStr">
        <is>
          <t>FULL-SCOPE, LATER (G4)</t>
        </is>
      </c>
      <c r="J22" s="14" t="inlineStr">
        <is>
          <t>P0</t>
        </is>
      </c>
      <c r="K22" s="14" t="inlineStr">
        <is>
          <t>Partial—gap remains</t>
        </is>
      </c>
      <c r="L22" s="14" t="n"/>
      <c r="M22" s="14" t="n"/>
      <c r="N22" s="14" t="inlineStr">
        <is>
          <t>TM-TST-019</t>
        </is>
      </c>
      <c r="O22" s="14" t="inlineStr">
        <is>
          <t>Not verified — no build</t>
        </is>
      </c>
    </row>
    <row r="23" ht="21.75" customHeight="1" s="10">
      <c r="A23" s="14" t="inlineStr">
        <is>
          <t>TM-REQ-020</t>
        </is>
      </c>
      <c r="B23" s="14" t="inlineStr">
        <is>
          <t>Starting-point profile</t>
        </is>
      </c>
      <c r="C23" s="14" t="inlineStr">
        <is>
          <t>SWOT/TOWS and gap analysis are explainable</t>
        </is>
      </c>
      <c r="D23" s="14" t="inlineStr">
        <is>
          <t>S</t>
        </is>
      </c>
      <c r="E23" s="14" t="inlineStr">
        <is>
          <t>INT-04,INT-10</t>
        </is>
      </c>
      <c r="F23" s="14" t="inlineStr">
        <is>
          <t>R1</t>
        </is>
      </c>
      <c r="G23" s="14" t="inlineStr">
        <is>
          <t>G3</t>
        </is>
      </c>
      <c r="H23" s="14" t="inlineStr">
        <is>
          <t>G3</t>
        </is>
      </c>
      <c r="I23" s="14" t="inlineStr">
        <is>
          <t>FIRST-BUILD (G1-G3)</t>
        </is>
      </c>
      <c r="J23" s="14" t="inlineStr">
        <is>
          <t>P1</t>
        </is>
      </c>
      <c r="K23" s="14" t="inlineStr">
        <is>
          <t>Documented—implementation unverified</t>
        </is>
      </c>
      <c r="L23" s="14" t="n"/>
      <c r="M23" s="14" t="n"/>
      <c r="N23" s="14" t="inlineStr">
        <is>
          <t>TM-TST-020</t>
        </is>
      </c>
      <c r="O23" s="14" t="inlineStr">
        <is>
          <t>Not verified — no build</t>
        </is>
      </c>
    </row>
    <row r="24" ht="15" customHeight="1" s="10">
      <c r="A24" s="14" t="inlineStr">
        <is>
          <t>TM-REQ-021</t>
        </is>
      </c>
      <c r="B24" s="14" t="inlineStr">
        <is>
          <t>Starting-point profile</t>
        </is>
      </c>
      <c r="C24" s="14" t="inlineStr">
        <is>
          <t>Unknown/not applicable/decline-to-answer states</t>
        </is>
      </c>
      <c r="D24" s="14" t="inlineStr">
        <is>
          <t>P</t>
        </is>
      </c>
      <c r="E24" s="14" t="inlineStr">
        <is>
          <t>INT-04,INT-10</t>
        </is>
      </c>
      <c r="F24" s="14" t="inlineStr">
        <is>
          <t>R0</t>
        </is>
      </c>
      <c r="G24" s="14" t="inlineStr">
        <is>
          <t>G1</t>
        </is>
      </c>
      <c r="H24" s="14" t="inlineStr">
        <is>
          <t>G1</t>
        </is>
      </c>
      <c r="I24" s="14" t="inlineStr">
        <is>
          <t>FIRST-BUILD (G1-G3)</t>
        </is>
      </c>
      <c r="J24" s="14" t="inlineStr">
        <is>
          <t>P0</t>
        </is>
      </c>
      <c r="K24" s="14" t="inlineStr">
        <is>
          <t>Partial—gap remains</t>
        </is>
      </c>
      <c r="L24" s="14" t="n"/>
      <c r="M24" s="14" t="n"/>
      <c r="N24" s="14" t="inlineStr">
        <is>
          <t>TM-TST-021</t>
        </is>
      </c>
      <c r="O24" s="14" t="inlineStr">
        <is>
          <t>Verified for G1 scope (automated evidence) — see Tests v2</t>
        </is>
      </c>
    </row>
    <row r="25" ht="21.75" customHeight="1" s="10">
      <c r="A25" s="14" t="inlineStr">
        <is>
          <t>TM-REQ-022</t>
        </is>
      </c>
      <c r="B25" s="14" t="inlineStr">
        <is>
          <t>Finance &amp; financial safety</t>
        </is>
      </c>
      <c r="C25" s="14" t="inlineStr">
        <is>
          <t>Asset/liability and net-worth inventory</t>
        </is>
      </c>
      <c r="D25" s="14" t="inlineStr">
        <is>
          <t>S</t>
        </is>
      </c>
      <c r="E25" s="14" t="inlineStr">
        <is>
          <t>INT-27,INT-12</t>
        </is>
      </c>
      <c r="F25" s="14" t="inlineStr">
        <is>
          <t>R1</t>
        </is>
      </c>
      <c r="G25" s="14" t="inlineStr">
        <is>
          <t>G1</t>
        </is>
      </c>
      <c r="H25" s="14" t="inlineStr">
        <is>
          <t>G3</t>
        </is>
      </c>
      <c r="I25" s="14" t="inlineStr">
        <is>
          <t>FIRST-BUILD (G1-G3)</t>
        </is>
      </c>
      <c r="J25" s="14" t="inlineStr">
        <is>
          <t>P0</t>
        </is>
      </c>
      <c r="K25" s="14" t="inlineStr">
        <is>
          <t>Documented—implementation unverified</t>
        </is>
      </c>
      <c r="L25" s="14" t="n"/>
      <c r="M25" s="14" t="n"/>
      <c r="N25" s="14" t="inlineStr">
        <is>
          <t>TM-TST-022</t>
        </is>
      </c>
      <c r="O25" s="14" t="inlineStr">
        <is>
          <t>Partial — automated part passes; manual/human gate pending — see Tests v2</t>
        </is>
      </c>
    </row>
    <row r="26" ht="15" customHeight="1" s="10">
      <c r="A26" s="14" t="inlineStr">
        <is>
          <t>TM-REQ-023</t>
        </is>
      </c>
      <c r="B26" s="14" t="inlineStr">
        <is>
          <t>Finance &amp; financial safety</t>
        </is>
      </c>
      <c r="C26" s="14" t="inlineStr">
        <is>
          <t>Income/expense and 90-day cash-flow review</t>
        </is>
      </c>
      <c r="D26" s="14" t="inlineStr">
        <is>
          <t>S</t>
        </is>
      </c>
      <c r="E26" s="14" t="inlineStr">
        <is>
          <t>INT-27,INT-12</t>
        </is>
      </c>
      <c r="F26" s="14" t="inlineStr">
        <is>
          <t>R1</t>
        </is>
      </c>
      <c r="G26" s="14" t="inlineStr">
        <is>
          <t>G1</t>
        </is>
      </c>
      <c r="H26" s="14" t="inlineStr">
        <is>
          <t>G3</t>
        </is>
      </c>
      <c r="I26" s="14" t="inlineStr">
        <is>
          <t>FIRST-BUILD (G1-G3)</t>
        </is>
      </c>
      <c r="J26" s="14" t="inlineStr">
        <is>
          <t>P1</t>
        </is>
      </c>
      <c r="K26" s="14" t="inlineStr">
        <is>
          <t>Partial—gap remains</t>
        </is>
      </c>
      <c r="L26" s="14" t="n"/>
      <c r="M26" s="14" t="n"/>
      <c r="N26" s="14" t="inlineStr">
        <is>
          <t>TM-TST-023</t>
        </is>
      </c>
      <c r="O26" s="14" t="inlineStr">
        <is>
          <t>Partial — automated part passes; manual/human gate pending — see Tests v2</t>
        </is>
      </c>
    </row>
    <row r="27" ht="15" customHeight="1" s="10">
      <c r="A27" s="14" t="inlineStr">
        <is>
          <t>TM-REQ-024</t>
        </is>
      </c>
      <c r="B27" s="14" t="inlineStr">
        <is>
          <t>Finance &amp; financial safety</t>
        </is>
      </c>
      <c r="C27" s="14" t="inlineStr">
        <is>
          <t>Budget templates are configurable, not universal</t>
        </is>
      </c>
      <c r="D27" s="14" t="inlineStr">
        <is>
          <t>P</t>
        </is>
      </c>
      <c r="E27" s="14" t="inlineStr">
        <is>
          <t>INT-27,INT-12</t>
        </is>
      </c>
      <c r="F27" s="14" t="inlineStr">
        <is>
          <t>R1</t>
        </is>
      </c>
      <c r="G27" s="14" t="inlineStr">
        <is>
          <t>G1</t>
        </is>
      </c>
      <c r="H27" s="14" t="inlineStr">
        <is>
          <t>G3</t>
        </is>
      </c>
      <c r="I27" s="14" t="inlineStr">
        <is>
          <t>FIRST-BUILD (G1-G3)</t>
        </is>
      </c>
      <c r="J27" s="14" t="inlineStr">
        <is>
          <t>P0</t>
        </is>
      </c>
      <c r="K27" s="14" t="inlineStr">
        <is>
          <t>Source conflict / stale-risk</t>
        </is>
      </c>
      <c r="L27" s="14" t="n"/>
      <c r="M27" s="14" t="n"/>
      <c r="N27" s="14" t="inlineStr">
        <is>
          <t>TM-TST-024</t>
        </is>
      </c>
      <c r="O27" s="14" t="inlineStr">
        <is>
          <t>Not verified — no build</t>
        </is>
      </c>
    </row>
    <row r="28" ht="15" customHeight="1" s="10">
      <c r="A28" s="14" t="inlineStr">
        <is>
          <t>TM-REQ-025</t>
        </is>
      </c>
      <c r="B28" s="14" t="inlineStr">
        <is>
          <t>Finance &amp; financial safety</t>
        </is>
      </c>
      <c r="C28" s="14" t="inlineStr">
        <is>
          <t>Four-account money routing is optional and editable</t>
        </is>
      </c>
      <c r="D28" s="14" t="inlineStr">
        <is>
          <t>S</t>
        </is>
      </c>
      <c r="E28" s="14" t="inlineStr">
        <is>
          <t>INT-27,INT-12</t>
        </is>
      </c>
      <c r="F28" s="14" t="inlineStr">
        <is>
          <t>R1</t>
        </is>
      </c>
      <c r="G28" s="14" t="inlineStr">
        <is>
          <t>G1</t>
        </is>
      </c>
      <c r="H28" s="14" t="inlineStr">
        <is>
          <t>G3</t>
        </is>
      </c>
      <c r="I28" s="14" t="inlineStr">
        <is>
          <t>FIRST-BUILD (G1-G3)</t>
        </is>
      </c>
      <c r="J28" s="14" t="inlineStr">
        <is>
          <t>P1</t>
        </is>
      </c>
      <c r="K28" s="14" t="inlineStr">
        <is>
          <t>Partial—gap remains</t>
        </is>
      </c>
      <c r="L28" s="14" t="n"/>
      <c r="M28" s="14" t="n"/>
      <c r="N28" s="14" t="inlineStr">
        <is>
          <t>TM-TST-025</t>
        </is>
      </c>
      <c r="O28" s="14" t="inlineStr">
        <is>
          <t>Not verified — no build</t>
        </is>
      </c>
    </row>
    <row r="29" ht="15" customHeight="1" s="10">
      <c r="A29" s="14" t="inlineStr">
        <is>
          <t>TM-REQ-026</t>
        </is>
      </c>
      <c r="B29" s="14" t="inlineStr">
        <is>
          <t>Finance &amp; financial safety</t>
        </is>
      </c>
      <c r="C29" s="14" t="inlineStr">
        <is>
          <t>Emergency reserve based on actual obligations/risk</t>
        </is>
      </c>
      <c r="D29" s="14" t="inlineStr">
        <is>
          <t>P</t>
        </is>
      </c>
      <c r="E29" s="14" t="inlineStr">
        <is>
          <t>INT-27,INT-12</t>
        </is>
      </c>
      <c r="F29" s="14" t="inlineStr">
        <is>
          <t>R1</t>
        </is>
      </c>
      <c r="G29" s="14" t="inlineStr">
        <is>
          <t>G3</t>
        </is>
      </c>
      <c r="H29" s="14" t="inlineStr">
        <is>
          <t>G3</t>
        </is>
      </c>
      <c r="I29" s="14" t="inlineStr">
        <is>
          <t>FIRST-BUILD (G1-G3)</t>
        </is>
      </c>
      <c r="J29" s="14" t="inlineStr">
        <is>
          <t>P0</t>
        </is>
      </c>
      <c r="K29" s="14" t="inlineStr">
        <is>
          <t>Partial—gap remains</t>
        </is>
      </c>
      <c r="L29" s="14" t="n"/>
      <c r="M29" s="14" t="n"/>
      <c r="N29" s="14" t="inlineStr">
        <is>
          <t>TM-TST-026</t>
        </is>
      </c>
      <c r="O29" s="14" t="inlineStr">
        <is>
          <t>Not verified — no build</t>
        </is>
      </c>
    </row>
    <row r="30" ht="15" customHeight="1" s="10">
      <c r="A30" s="14" t="inlineStr">
        <is>
          <t>TM-REQ-027</t>
        </is>
      </c>
      <c r="B30" s="14" t="inlineStr">
        <is>
          <t>Finance &amp; financial safety</t>
        </is>
      </c>
      <c r="C30" s="14" t="inlineStr">
        <is>
          <t>Debt plan considers cost, due dates and user constraints</t>
        </is>
      </c>
      <c r="D30" s="14" t="inlineStr">
        <is>
          <t>P</t>
        </is>
      </c>
      <c r="E30" s="14" t="inlineStr">
        <is>
          <t>INT-27,INT-12</t>
        </is>
      </c>
      <c r="F30" s="14" t="inlineStr">
        <is>
          <t>R1</t>
        </is>
      </c>
      <c r="G30" s="14" t="inlineStr">
        <is>
          <t>G3</t>
        </is>
      </c>
      <c r="H30" s="14" t="inlineStr">
        <is>
          <t>G3</t>
        </is>
      </c>
      <c r="I30" s="14" t="inlineStr">
        <is>
          <t>FIRST-BUILD (G1-G3)</t>
        </is>
      </c>
      <c r="J30" s="14" t="inlineStr">
        <is>
          <t>P0</t>
        </is>
      </c>
      <c r="K30" s="14" t="inlineStr">
        <is>
          <t>Partial—gap remains</t>
        </is>
      </c>
      <c r="L30" s="14" t="n"/>
      <c r="M30" s="14" t="n"/>
      <c r="N30" s="14" t="inlineStr">
        <is>
          <t>TM-TST-027</t>
        </is>
      </c>
      <c r="O30" s="14" t="inlineStr">
        <is>
          <t>Not verified — no build</t>
        </is>
      </c>
    </row>
    <row r="31" ht="15" customHeight="1" s="10">
      <c r="A31" s="14" t="inlineStr">
        <is>
          <t>TM-REQ-028</t>
        </is>
      </c>
      <c r="B31" s="14" t="inlineStr">
        <is>
          <t>Finance &amp; financial safety</t>
        </is>
      </c>
      <c r="C31" s="14" t="inlineStr">
        <is>
          <t>Separate personal and business cash/working capital</t>
        </is>
      </c>
      <c r="D31" s="14" t="inlineStr">
        <is>
          <t>P</t>
        </is>
      </c>
      <c r="E31" s="14" t="inlineStr">
        <is>
          <t>INT-27,INT-12</t>
        </is>
      </c>
      <c r="F31" s="14" t="inlineStr">
        <is>
          <t>R1</t>
        </is>
      </c>
      <c r="G31" s="14" t="inlineStr">
        <is>
          <t>G1</t>
        </is>
      </c>
      <c r="H31" s="14" t="inlineStr">
        <is>
          <t>G3</t>
        </is>
      </c>
      <c r="I31" s="14" t="inlineStr">
        <is>
          <t>FIRST-BUILD (G1-G3)</t>
        </is>
      </c>
      <c r="J31" s="14" t="inlineStr">
        <is>
          <t>P0</t>
        </is>
      </c>
      <c r="K31" s="14" t="inlineStr">
        <is>
          <t>Partial—gap remains</t>
        </is>
      </c>
      <c r="L31" s="14" t="n"/>
      <c r="M31" s="14" t="n"/>
      <c r="N31" s="14" t="inlineStr">
        <is>
          <t>TM-TST-028</t>
        </is>
      </c>
      <c r="O31" s="14" t="inlineStr">
        <is>
          <t>Not verified — no build</t>
        </is>
      </c>
    </row>
    <row r="32" ht="15" customHeight="1" s="10">
      <c r="A32" s="14" t="inlineStr">
        <is>
          <t>TM-REQ-029</t>
        </is>
      </c>
      <c r="B32" s="14" t="inlineStr">
        <is>
          <t>Finance &amp; financial safety</t>
        </is>
      </c>
      <c r="C32" s="14" t="inlineStr">
        <is>
          <t>Runway and downside scenarios</t>
        </is>
      </c>
      <c r="D32" s="14" t="inlineStr">
        <is>
          <t>P</t>
        </is>
      </c>
      <c r="E32" s="14" t="inlineStr">
        <is>
          <t>INT-27,INT-12</t>
        </is>
      </c>
      <c r="F32" s="14" t="inlineStr">
        <is>
          <t>R1</t>
        </is>
      </c>
      <c r="G32" s="14" t="inlineStr">
        <is>
          <t>G3</t>
        </is>
      </c>
      <c r="H32" s="14" t="inlineStr">
        <is>
          <t>G3</t>
        </is>
      </c>
      <c r="I32" s="14" t="inlineStr">
        <is>
          <t>FIRST-BUILD (G1-G3)</t>
        </is>
      </c>
      <c r="J32" s="14" t="inlineStr">
        <is>
          <t>P0</t>
        </is>
      </c>
      <c r="K32" s="14" t="inlineStr">
        <is>
          <t>Partial—gap remains</t>
        </is>
      </c>
      <c r="L32" s="14" t="n"/>
      <c r="M32" s="14" t="n"/>
      <c r="N32" s="14" t="inlineStr">
        <is>
          <t>TM-TST-029</t>
        </is>
      </c>
      <c r="O32" s="14" t="inlineStr">
        <is>
          <t>Not verified — no build</t>
        </is>
      </c>
    </row>
    <row r="33" ht="15" customHeight="1" s="10">
      <c r="A33" s="14" t="inlineStr">
        <is>
          <t>TM-REQ-030</t>
        </is>
      </c>
      <c r="B33" s="14" t="inlineStr">
        <is>
          <t>Finance &amp; financial safety</t>
        </is>
      </c>
      <c r="C33" s="14" t="inlineStr">
        <is>
          <t>Investments are evidence-based and risk-bounded</t>
        </is>
      </c>
      <c r="D33" s="14" t="inlineStr">
        <is>
          <t>P</t>
        </is>
      </c>
      <c r="E33" s="14" t="inlineStr">
        <is>
          <t>INT-27,INT-12</t>
        </is>
      </c>
      <c r="F33" s="14" t="inlineStr">
        <is>
          <t>R1</t>
        </is>
      </c>
      <c r="G33" s="14" t="inlineStr">
        <is>
          <t>G4</t>
        </is>
      </c>
      <c r="H33" s="14" t="inlineStr">
        <is>
          <t>G4</t>
        </is>
      </c>
      <c r="I33" s="14" t="inlineStr">
        <is>
          <t>FULL-SCOPE, LATER (G4)</t>
        </is>
      </c>
      <c r="J33" s="14" t="inlineStr">
        <is>
          <t>P0</t>
        </is>
      </c>
      <c r="K33" s="14" t="inlineStr">
        <is>
          <t>Partial—gap remains</t>
        </is>
      </c>
      <c r="L33" s="14" t="n"/>
      <c r="M33" s="14" t="n"/>
      <c r="N33" s="14" t="inlineStr">
        <is>
          <t>TM-TST-030</t>
        </is>
      </c>
      <c r="O33" s="14" t="inlineStr">
        <is>
          <t>Not verified — no build</t>
        </is>
      </c>
    </row>
    <row r="34" ht="15" customHeight="1" s="10">
      <c r="A34" s="14" t="inlineStr">
        <is>
          <t>TM-REQ-031</t>
        </is>
      </c>
      <c r="B34" s="14" t="inlineStr">
        <is>
          <t>Finance &amp; financial safety</t>
        </is>
      </c>
      <c r="C34" s="14" t="inlineStr">
        <is>
          <t>Business valuation and ownership percentage</t>
        </is>
      </c>
      <c r="D34" s="14" t="inlineStr">
        <is>
          <t>P</t>
        </is>
      </c>
      <c r="E34" s="14" t="inlineStr">
        <is>
          <t>INT-27,INT-12</t>
        </is>
      </c>
      <c r="F34" s="14" t="inlineStr">
        <is>
          <t>R1</t>
        </is>
      </c>
      <c r="G34" s="14" t="inlineStr">
        <is>
          <t>G1</t>
        </is>
      </c>
      <c r="H34" s="14" t="inlineStr">
        <is>
          <t>G3</t>
        </is>
      </c>
      <c r="I34" s="14" t="inlineStr">
        <is>
          <t>FIRST-BUILD (G1-G3)</t>
        </is>
      </c>
      <c r="J34" s="14" t="inlineStr">
        <is>
          <t>P0</t>
        </is>
      </c>
      <c r="K34" s="14" t="inlineStr">
        <is>
          <t>Decision required</t>
        </is>
      </c>
      <c r="L34" s="14" t="n"/>
      <c r="M34" s="14" t="n"/>
      <c r="N34" s="14" t="inlineStr">
        <is>
          <t>TM-TST-031</t>
        </is>
      </c>
      <c r="O34" s="14" t="inlineStr">
        <is>
          <t>Not verified — no build</t>
        </is>
      </c>
    </row>
    <row r="35" ht="15" customHeight="1" s="10">
      <c r="A35" s="14" t="inlineStr">
        <is>
          <t>TM-REQ-032</t>
        </is>
      </c>
      <c r="B35" s="14" t="inlineStr">
        <is>
          <t>Finance &amp; financial safety</t>
        </is>
      </c>
      <c r="C35" s="14" t="inlineStr">
        <is>
          <t>Tax, VAT and statutory obligations are jurisdiction-aware</t>
        </is>
      </c>
      <c r="D35" s="14" t="inlineStr">
        <is>
          <t>P</t>
        </is>
      </c>
      <c r="E35" s="14" t="inlineStr">
        <is>
          <t>INT-27,INT-12</t>
        </is>
      </c>
      <c r="F35" s="14" t="inlineStr">
        <is>
          <t>R1</t>
        </is>
      </c>
      <c r="G35" s="14" t="inlineStr">
        <is>
          <t>G4</t>
        </is>
      </c>
      <c r="H35" s="14" t="inlineStr">
        <is>
          <t>G4</t>
        </is>
      </c>
      <c r="I35" s="14" t="inlineStr">
        <is>
          <t>FULL-SCOPE, LATER (G4)</t>
        </is>
      </c>
      <c r="J35" s="14" t="inlineStr">
        <is>
          <t>P0</t>
        </is>
      </c>
      <c r="K35" s="14" t="inlineStr">
        <is>
          <t>External verification required</t>
        </is>
      </c>
      <c r="L35" s="14" t="n"/>
      <c r="M35" s="14" t="n"/>
      <c r="N35" s="14" t="inlineStr">
        <is>
          <t>TM-TST-032</t>
        </is>
      </c>
      <c r="O35" s="14" t="inlineStr">
        <is>
          <t>Not verified — no build</t>
        </is>
      </c>
    </row>
    <row r="36" ht="15" customHeight="1" s="10">
      <c r="A36" s="14" t="inlineStr">
        <is>
          <t>TM-REQ-033</t>
        </is>
      </c>
      <c r="B36" s="14" t="inlineStr">
        <is>
          <t>Finance &amp; financial safety</t>
        </is>
      </c>
      <c r="C36" s="14" t="inlineStr">
        <is>
          <t>AML/source-of-funds recordkeeping is a business risk workflow</t>
        </is>
      </c>
      <c r="D36" s="14" t="inlineStr">
        <is>
          <t>P</t>
        </is>
      </c>
      <c r="E36" s="14" t="inlineStr">
        <is>
          <t>INT-27,INT-12</t>
        </is>
      </c>
      <c r="F36" s="14" t="inlineStr">
        <is>
          <t>R1</t>
        </is>
      </c>
      <c r="G36" s="14" t="inlineStr">
        <is>
          <t>G4</t>
        </is>
      </c>
      <c r="H36" s="14" t="inlineStr">
        <is>
          <t>G4</t>
        </is>
      </c>
      <c r="I36" s="14" t="inlineStr">
        <is>
          <t>FULL-SCOPE, LATER (G4)</t>
        </is>
      </c>
      <c r="J36" s="14" t="inlineStr">
        <is>
          <t>P1</t>
        </is>
      </c>
      <c r="K36" s="14" t="inlineStr">
        <is>
          <t>Partial—gap remains</t>
        </is>
      </c>
      <c r="L36" s="14" t="n"/>
      <c r="M36" s="14" t="n"/>
      <c r="N36" s="14" t="inlineStr">
        <is>
          <t>TM-TST-033</t>
        </is>
      </c>
      <c r="O36" s="14" t="inlineStr">
        <is>
          <t>Not verified — no build</t>
        </is>
      </c>
    </row>
    <row r="37" ht="21.75" customHeight="1" s="10">
      <c r="A37" s="14" t="inlineStr">
        <is>
          <t>TM-REQ-034</t>
        </is>
      </c>
      <c r="B37" s="14" t="inlineStr">
        <is>
          <t>Finance &amp; financial safety</t>
        </is>
      </c>
      <c r="C37" s="14" t="inlineStr">
        <is>
          <t>Do not collect bank passwords, OTPs or recovery secrets</t>
        </is>
      </c>
      <c r="D37" s="14" t="inlineStr">
        <is>
          <t>P</t>
        </is>
      </c>
      <c r="E37" s="14" t="inlineStr">
        <is>
          <t>INT-27,INT-12</t>
        </is>
      </c>
      <c r="F37" s="14" t="inlineStr">
        <is>
          <t>R0</t>
        </is>
      </c>
      <c r="G37" s="14" t="inlineStr">
        <is>
          <t>G1</t>
        </is>
      </c>
      <c r="H37" s="14" t="inlineStr">
        <is>
          <t>G1</t>
        </is>
      </c>
      <c r="I37" s="14" t="inlineStr">
        <is>
          <t>FIRST-BUILD (G1-G3)</t>
        </is>
      </c>
      <c r="J37" s="14" t="inlineStr">
        <is>
          <t>P0</t>
        </is>
      </c>
      <c r="K37" s="14" t="inlineStr">
        <is>
          <t>Documented—implementation unverified</t>
        </is>
      </c>
      <c r="L37" s="14" t="n"/>
      <c r="M37" s="14" t="n"/>
      <c r="N37" s="14" t="inlineStr">
        <is>
          <t>TM-TST-034</t>
        </is>
      </c>
      <c r="O37" s="14" t="inlineStr">
        <is>
          <t>Verified for G1 scope (automated evidence) — see Tests v2</t>
        </is>
      </c>
    </row>
    <row r="38" ht="21.75" customHeight="1" s="10">
      <c r="A38" s="14" t="inlineStr">
        <is>
          <t>TM-REQ-035</t>
        </is>
      </c>
      <c r="B38" s="14" t="inlineStr">
        <is>
          <t>Finance &amp; financial safety</t>
        </is>
      </c>
      <c r="C38" s="14" t="inlineStr">
        <is>
          <t>Donations/payment actions require explicit confirmation</t>
        </is>
      </c>
      <c r="D38" s="14" t="inlineStr">
        <is>
          <t>P</t>
        </is>
      </c>
      <c r="E38" s="14" t="inlineStr">
        <is>
          <t>INT-27,INT-12</t>
        </is>
      </c>
      <c r="F38" s="14" t="inlineStr">
        <is>
          <t>R0</t>
        </is>
      </c>
      <c r="G38" s="14" t="inlineStr">
        <is>
          <t>G6</t>
        </is>
      </c>
      <c r="H38" s="14" t="inlineStr">
        <is>
          <t>G6</t>
        </is>
      </c>
      <c r="I38" s="14" t="inlineStr">
        <is>
          <t>FULL-SCOPE, LATER (G6)</t>
        </is>
      </c>
      <c r="J38" s="14" t="inlineStr">
        <is>
          <t>P0</t>
        </is>
      </c>
      <c r="K38" s="14" t="inlineStr">
        <is>
          <t>Documented—implementation unverified</t>
        </is>
      </c>
      <c r="L38" s="14" t="n"/>
      <c r="M38" s="14" t="n"/>
      <c r="N38" s="14" t="inlineStr">
        <is>
          <t>TM-TST-035</t>
        </is>
      </c>
      <c r="O38" s="14" t="inlineStr">
        <is>
          <t>Not verified — no build</t>
        </is>
      </c>
    </row>
    <row r="39" ht="21.75" customHeight="1" s="10">
      <c r="A39" s="14" t="inlineStr">
        <is>
          <t>TM-REQ-036</t>
        </is>
      </c>
      <c r="B39" s="14" t="inlineStr">
        <is>
          <t>Goal &amp; execution engine</t>
        </is>
      </c>
      <c r="C39" s="14" t="inlineStr">
        <is>
          <t>Capture life vision across domains</t>
        </is>
      </c>
      <c r="D39" s="14" t="inlineStr">
        <is>
          <t>S</t>
        </is>
      </c>
      <c r="E39" s="14" t="inlineStr">
        <is>
          <t>INT-17,INT-26</t>
        </is>
      </c>
      <c r="F39" s="14" t="inlineStr">
        <is>
          <t>R1</t>
        </is>
      </c>
      <c r="G39" s="14" t="inlineStr">
        <is>
          <t>G1</t>
        </is>
      </c>
      <c r="H39" s="14" t="inlineStr">
        <is>
          <t>G3</t>
        </is>
      </c>
      <c r="I39" s="14" t="inlineStr">
        <is>
          <t>FIRST-BUILD (G1-G3)</t>
        </is>
      </c>
      <c r="J39" s="14" t="inlineStr">
        <is>
          <t>P1</t>
        </is>
      </c>
      <c r="K39" s="14" t="inlineStr">
        <is>
          <t>Documented—implementation unverified</t>
        </is>
      </c>
      <c r="L39" s="14" t="n"/>
      <c r="M39" s="14" t="n"/>
      <c r="N39" s="14" t="inlineStr">
        <is>
          <t>TM-TST-036</t>
        </is>
      </c>
      <c r="O39" s="14" t="inlineStr">
        <is>
          <t>Not verified — no build</t>
        </is>
      </c>
    </row>
    <row r="40" ht="21.75" customHeight="1" s="10">
      <c r="A40" s="14" t="inlineStr">
        <is>
          <t>TM-REQ-037</t>
        </is>
      </c>
      <c r="B40" s="14" t="inlineStr">
        <is>
          <t>Goal &amp; execution engine</t>
        </is>
      </c>
      <c r="C40" s="14" t="inlineStr">
        <is>
          <t>Decompose Goal → Subgoal → Project → Task</t>
        </is>
      </c>
      <c r="D40" s="14" t="inlineStr">
        <is>
          <t>S</t>
        </is>
      </c>
      <c r="E40" s="14" t="inlineStr">
        <is>
          <t>INT-17,INT-26</t>
        </is>
      </c>
      <c r="F40" s="14" t="inlineStr">
        <is>
          <t>R1</t>
        </is>
      </c>
      <c r="G40" s="14" t="inlineStr">
        <is>
          <t>G1</t>
        </is>
      </c>
      <c r="H40" s="14" t="inlineStr">
        <is>
          <t>G3</t>
        </is>
      </c>
      <c r="I40" s="14" t="inlineStr">
        <is>
          <t>FIRST-BUILD (G1-G3)</t>
        </is>
      </c>
      <c r="J40" s="14" t="inlineStr">
        <is>
          <t>P0</t>
        </is>
      </c>
      <c r="K40" s="14" t="inlineStr">
        <is>
          <t>Documented—implementation unverified</t>
        </is>
      </c>
      <c r="L40" s="14" t="n"/>
      <c r="M40" s="14" t="n"/>
      <c r="N40" s="14" t="inlineStr">
        <is>
          <t>TM-TST-037</t>
        </is>
      </c>
      <c r="O40" s="14" t="inlineStr">
        <is>
          <t>Verified for G1 scope (automated evidence) — see Tests v2</t>
        </is>
      </c>
    </row>
    <row r="41" ht="21.75" customHeight="1" s="10">
      <c r="A41" s="14" t="inlineStr">
        <is>
          <t>TM-REQ-038</t>
        </is>
      </c>
      <c r="B41" s="14" t="inlineStr">
        <is>
          <t>Goal &amp; execution engine</t>
        </is>
      </c>
      <c r="C41" s="14" t="inlineStr">
        <is>
          <t>Support SMART/BHAG and free-form goals without forcing a framework</t>
        </is>
      </c>
      <c r="D41" s="14" t="inlineStr">
        <is>
          <t>S</t>
        </is>
      </c>
      <c r="E41" s="14" t="inlineStr">
        <is>
          <t>INT-17,INT-26</t>
        </is>
      </c>
      <c r="F41" s="14" t="inlineStr">
        <is>
          <t>R1</t>
        </is>
      </c>
      <c r="G41" s="14" t="inlineStr">
        <is>
          <t>G1</t>
        </is>
      </c>
      <c r="H41" s="14" t="inlineStr">
        <is>
          <t>G3</t>
        </is>
      </c>
      <c r="I41" s="14" t="inlineStr">
        <is>
          <t>FIRST-BUILD (G1-G3)</t>
        </is>
      </c>
      <c r="J41" s="14" t="inlineStr">
        <is>
          <t>P1</t>
        </is>
      </c>
      <c r="K41" s="14" t="inlineStr">
        <is>
          <t>Partial—gap remains</t>
        </is>
      </c>
      <c r="L41" s="14" t="n"/>
      <c r="M41" s="14" t="n"/>
      <c r="N41" s="14" t="inlineStr">
        <is>
          <t>TM-TST-038</t>
        </is>
      </c>
      <c r="O41" s="14" t="inlineStr">
        <is>
          <t>Not verified — no build</t>
        </is>
      </c>
    </row>
    <row r="42" ht="15" customHeight="1" s="10">
      <c r="A42" s="14" t="inlineStr">
        <is>
          <t>TM-REQ-039</t>
        </is>
      </c>
      <c r="B42" s="14" t="inlineStr">
        <is>
          <t>Goal &amp; execution engine</t>
        </is>
      </c>
      <c r="C42" s="14" t="inlineStr">
        <is>
          <t>Estimate money, time, skill, people and dependencies</t>
        </is>
      </c>
      <c r="D42" s="14" t="inlineStr">
        <is>
          <t>P</t>
        </is>
      </c>
      <c r="E42" s="14" t="inlineStr">
        <is>
          <t>INT-17,INT-26</t>
        </is>
      </c>
      <c r="F42" s="14" t="inlineStr">
        <is>
          <t>R1</t>
        </is>
      </c>
      <c r="G42" s="14" t="inlineStr">
        <is>
          <t>G3</t>
        </is>
      </c>
      <c r="H42" s="14" t="inlineStr">
        <is>
          <t>G3</t>
        </is>
      </c>
      <c r="I42" s="14" t="inlineStr">
        <is>
          <t>FIRST-BUILD (G1-G3)</t>
        </is>
      </c>
      <c r="J42" s="14" t="inlineStr">
        <is>
          <t>P0</t>
        </is>
      </c>
      <c r="K42" s="14" t="inlineStr">
        <is>
          <t>Partial—gap remains</t>
        </is>
      </c>
      <c r="L42" s="14" t="n"/>
      <c r="M42" s="14" t="n"/>
      <c r="N42" s="14" t="inlineStr">
        <is>
          <t>TM-TST-039</t>
        </is>
      </c>
      <c r="O42" s="14" t="inlineStr">
        <is>
          <t>Not verified — no build</t>
        </is>
      </c>
    </row>
    <row r="43" ht="15" customHeight="1" s="10">
      <c r="A43" s="14" t="inlineStr">
        <is>
          <t>TM-REQ-040</t>
        </is>
      </c>
      <c r="B43" s="14" t="inlineStr">
        <is>
          <t>Goal &amp; execution engine</t>
        </is>
      </c>
      <c r="C43" s="14" t="inlineStr">
        <is>
          <t>Hard constraints vs soft preferences</t>
        </is>
      </c>
      <c r="D43" s="14" t="inlineStr">
        <is>
          <t>P</t>
        </is>
      </c>
      <c r="E43" s="14" t="inlineStr">
        <is>
          <t>INT-17,INT-26</t>
        </is>
      </c>
      <c r="F43" s="14" t="inlineStr">
        <is>
          <t>R0</t>
        </is>
      </c>
      <c r="G43" s="14" t="inlineStr">
        <is>
          <t>G3</t>
        </is>
      </c>
      <c r="H43" s="14" t="inlineStr">
        <is>
          <t>G3</t>
        </is>
      </c>
      <c r="I43" s="14" t="inlineStr">
        <is>
          <t>FIRST-BUILD (G1-G3)</t>
        </is>
      </c>
      <c r="J43" s="14" t="inlineStr">
        <is>
          <t>P0</t>
        </is>
      </c>
      <c r="K43" s="14" t="inlineStr">
        <is>
          <t>Partial—gap remains</t>
        </is>
      </c>
      <c r="L43" s="14" t="n"/>
      <c r="M43" s="14" t="n"/>
      <c r="N43" s="14" t="inlineStr">
        <is>
          <t>TM-TST-040</t>
        </is>
      </c>
      <c r="O43" s="14" t="inlineStr">
        <is>
          <t>Not verified — no build</t>
        </is>
      </c>
    </row>
    <row r="44" ht="15" customHeight="1" s="10">
      <c r="A44" s="14" t="inlineStr">
        <is>
          <t>TM-REQ-041</t>
        </is>
      </c>
      <c r="B44" s="14" t="inlineStr">
        <is>
          <t>Goal &amp; execution engine</t>
        </is>
      </c>
      <c r="C44" s="14" t="inlineStr">
        <is>
          <t>Scheduling and habit supports are optional and non-punitive</t>
        </is>
      </c>
      <c r="D44" s="14" t="inlineStr">
        <is>
          <t>P</t>
        </is>
      </c>
      <c r="E44" s="14" t="inlineStr">
        <is>
          <t>INT-17,INT-26</t>
        </is>
      </c>
      <c r="F44" s="14" t="inlineStr">
        <is>
          <t>R1</t>
        </is>
      </c>
      <c r="G44" s="14" t="inlineStr">
        <is>
          <t>G3</t>
        </is>
      </c>
      <c r="H44" s="14" t="inlineStr">
        <is>
          <t>G3</t>
        </is>
      </c>
      <c r="I44" s="14" t="inlineStr">
        <is>
          <t>FIRST-BUILD (G1-G3)</t>
        </is>
      </c>
      <c r="J44" s="14" t="inlineStr">
        <is>
          <t>P1</t>
        </is>
      </c>
      <c r="K44" s="14" t="inlineStr">
        <is>
          <t>Partial—gap remains</t>
        </is>
      </c>
      <c r="L44" s="14" t="n"/>
      <c r="M44" s="14" t="n"/>
      <c r="N44" s="14" t="inlineStr">
        <is>
          <t>TM-TST-041</t>
        </is>
      </c>
      <c r="O44" s="14" t="inlineStr">
        <is>
          <t>Not verified — no build</t>
        </is>
      </c>
    </row>
    <row r="45" ht="15" customHeight="1" s="10">
      <c r="A45" s="14" t="inlineStr">
        <is>
          <t>TM-REQ-042</t>
        </is>
      </c>
      <c r="B45" s="14" t="inlineStr">
        <is>
          <t>Goal &amp; execution engine</t>
        </is>
      </c>
      <c r="C45" s="14" t="inlineStr">
        <is>
          <t>Calendar integration is opt-in and reversible</t>
        </is>
      </c>
      <c r="D45" s="14" t="inlineStr">
        <is>
          <t>P</t>
        </is>
      </c>
      <c r="E45" s="14" t="inlineStr">
        <is>
          <t>INT-17,INT-26</t>
        </is>
      </c>
      <c r="F45" s="14" t="inlineStr">
        <is>
          <t>R1</t>
        </is>
      </c>
      <c r="G45" s="14" t="inlineStr">
        <is>
          <t>G6</t>
        </is>
      </c>
      <c r="H45" s="14" t="inlineStr">
        <is>
          <t>G6</t>
        </is>
      </c>
      <c r="I45" s="14" t="inlineStr">
        <is>
          <t>FULL-SCOPE, LATER (G6)</t>
        </is>
      </c>
      <c r="J45" s="14" t="inlineStr">
        <is>
          <t>P1</t>
        </is>
      </c>
      <c r="K45" s="14" t="inlineStr">
        <is>
          <t>Partial—gap remains</t>
        </is>
      </c>
      <c r="L45" s="14" t="inlineStr">
        <is>
          <t>see 126</t>
        </is>
      </c>
      <c r="M45" s="14" t="n"/>
      <c r="N45" s="14" t="inlineStr">
        <is>
          <t>TM-TST-042</t>
        </is>
      </c>
      <c r="O45" s="14" t="inlineStr">
        <is>
          <t>Not verified — no build</t>
        </is>
      </c>
    </row>
    <row r="46" ht="21.75" customHeight="1" s="10">
      <c r="A46" s="14" t="inlineStr">
        <is>
          <t>TM-REQ-043</t>
        </is>
      </c>
      <c r="B46" s="14" t="inlineStr">
        <is>
          <t>Goal &amp; execution engine</t>
        </is>
      </c>
      <c r="C46" s="14" t="inlineStr">
        <is>
          <t>Weekly/monthly/quarterly reviews and reflection</t>
        </is>
      </c>
      <c r="D46" s="14" t="inlineStr">
        <is>
          <t>P</t>
        </is>
      </c>
      <c r="E46" s="14" t="inlineStr">
        <is>
          <t>INT-17,INT-26</t>
        </is>
      </c>
      <c r="F46" s="14" t="inlineStr">
        <is>
          <t>R1</t>
        </is>
      </c>
      <c r="G46" s="14" t="inlineStr">
        <is>
          <t>G3</t>
        </is>
      </c>
      <c r="H46" s="14" t="inlineStr">
        <is>
          <t>G3</t>
        </is>
      </c>
      <c r="I46" s="14" t="inlineStr">
        <is>
          <t>FIRST-BUILD (G1-G3)</t>
        </is>
      </c>
      <c r="J46" s="14" t="inlineStr">
        <is>
          <t>P1</t>
        </is>
      </c>
      <c r="K46" s="14" t="inlineStr">
        <is>
          <t>Documented—implementation unverified</t>
        </is>
      </c>
      <c r="L46" s="14" t="n"/>
      <c r="M46" s="14" t="n"/>
      <c r="N46" s="14" t="inlineStr">
        <is>
          <t>TM-TST-043</t>
        </is>
      </c>
      <c r="O46" s="14" t="inlineStr">
        <is>
          <t>Not verified — no build</t>
        </is>
      </c>
    </row>
    <row r="47" ht="15" customHeight="1" s="10">
      <c r="A47" s="14" t="inlineStr">
        <is>
          <t>TM-REQ-044</t>
        </is>
      </c>
      <c r="B47" s="14" t="inlineStr">
        <is>
          <t>Goal &amp; execution engine</t>
        </is>
      </c>
      <c r="C47" s="14" t="inlineStr">
        <is>
          <t>Journal/voice notes are optional and sensitive</t>
        </is>
      </c>
      <c r="D47" s="14" t="inlineStr">
        <is>
          <t>P</t>
        </is>
      </c>
      <c r="E47" s="14" t="inlineStr">
        <is>
          <t>INT-17,INT-26</t>
        </is>
      </c>
      <c r="F47" s="14" t="inlineStr">
        <is>
          <t>R1</t>
        </is>
      </c>
      <c r="G47" s="14" t="inlineStr">
        <is>
          <t>G1</t>
        </is>
      </c>
      <c r="H47" s="14" t="inlineStr">
        <is>
          <t>G7</t>
        </is>
      </c>
      <c r="I47" s="14" t="inlineStr">
        <is>
          <t>FIRST-BUILD (G1-G3)</t>
        </is>
      </c>
      <c r="J47" s="14" t="inlineStr">
        <is>
          <t>P1</t>
        </is>
      </c>
      <c r="K47" s="14" t="inlineStr">
        <is>
          <t>Partial—gap remains</t>
        </is>
      </c>
      <c r="L47" s="14" t="n"/>
      <c r="M47" s="14" t="n"/>
      <c r="N47" s="14" t="inlineStr">
        <is>
          <t>TM-TST-044</t>
        </is>
      </c>
      <c r="O47" s="14" t="inlineStr">
        <is>
          <t>Not verified — no build</t>
        </is>
      </c>
    </row>
    <row r="48" ht="21.75" customHeight="1" s="10">
      <c r="A48" s="14" t="inlineStr">
        <is>
          <t>TM-REQ-045</t>
        </is>
      </c>
      <c r="B48" s="14" t="inlineStr">
        <is>
          <t>Goal &amp; execution engine</t>
        </is>
      </c>
      <c r="C48" s="14" t="inlineStr">
        <is>
          <t>Real-life event capture triggers impact analysis</t>
        </is>
      </c>
      <c r="D48" s="14" t="inlineStr">
        <is>
          <t>P</t>
        </is>
      </c>
      <c r="E48" s="14" t="inlineStr">
        <is>
          <t>INT-17,INT-26</t>
        </is>
      </c>
      <c r="F48" s="14" t="inlineStr">
        <is>
          <t>R0</t>
        </is>
      </c>
      <c r="G48" s="14" t="inlineStr">
        <is>
          <t>G3</t>
        </is>
      </c>
      <c r="H48" s="14" t="inlineStr">
        <is>
          <t>G3</t>
        </is>
      </c>
      <c r="I48" s="14" t="inlineStr">
        <is>
          <t>FIRST-BUILD (G1-G3)</t>
        </is>
      </c>
      <c r="J48" s="14" t="inlineStr">
        <is>
          <t>P0</t>
        </is>
      </c>
      <c r="K48" s="14" t="inlineStr">
        <is>
          <t>Documented—implementation unverified</t>
        </is>
      </c>
      <c r="L48" s="14" t="n"/>
      <c r="M48" s="14" t="n"/>
      <c r="N48" s="14" t="inlineStr">
        <is>
          <t>TM-TST-045</t>
        </is>
      </c>
      <c r="O48" s="14" t="inlineStr">
        <is>
          <t>Not verified — no build</t>
        </is>
      </c>
    </row>
    <row r="49" ht="21.75" customHeight="1" s="10">
      <c r="A49" s="14" t="inlineStr">
        <is>
          <t>TM-REQ-046</t>
        </is>
      </c>
      <c r="B49" s="14" t="inlineStr">
        <is>
          <t>Goal &amp; execution engine</t>
        </is>
      </c>
      <c r="C49" s="14" t="inlineStr">
        <is>
          <t>Preserve historical plan and compare alternatives</t>
        </is>
      </c>
      <c r="D49" s="14" t="inlineStr">
        <is>
          <t>P</t>
        </is>
      </c>
      <c r="E49" s="14" t="inlineStr">
        <is>
          <t>INT-17,INT-26</t>
        </is>
      </c>
      <c r="F49" s="14" t="inlineStr">
        <is>
          <t>R1</t>
        </is>
      </c>
      <c r="G49" s="14" t="inlineStr">
        <is>
          <t>G3</t>
        </is>
      </c>
      <c r="H49" s="14" t="inlineStr">
        <is>
          <t>G3</t>
        </is>
      </c>
      <c r="I49" s="14" t="inlineStr">
        <is>
          <t>FIRST-BUILD (G1-G3)</t>
        </is>
      </c>
      <c r="J49" s="14" t="inlineStr">
        <is>
          <t>P1</t>
        </is>
      </c>
      <c r="K49" s="14" t="inlineStr">
        <is>
          <t>Documented—implementation unverified</t>
        </is>
      </c>
      <c r="L49" s="14" t="n"/>
      <c r="M49" s="14" t="n"/>
      <c r="N49" s="14" t="inlineStr">
        <is>
          <t>TM-TST-046</t>
        </is>
      </c>
      <c r="O49" s="14" t="inlineStr">
        <is>
          <t>Not verified — no build</t>
        </is>
      </c>
    </row>
    <row r="50" ht="15" customHeight="1" s="10">
      <c r="A50" s="14" t="inlineStr">
        <is>
          <t>TM-REQ-047</t>
        </is>
      </c>
      <c r="B50" s="14" t="inlineStr">
        <is>
          <t>Goal &amp; execution engine</t>
        </is>
      </c>
      <c r="C50" s="14" t="inlineStr">
        <is>
          <t>Overload, crisis and interruption modes</t>
        </is>
      </c>
      <c r="D50" s="14" t="inlineStr">
        <is>
          <t>B</t>
        </is>
      </c>
      <c r="E50" s="14" t="inlineStr">
        <is>
          <t>INT-17,INT-26</t>
        </is>
      </c>
      <c r="F50" s="14" t="inlineStr">
        <is>
          <t>R0</t>
        </is>
      </c>
      <c r="G50" s="14" t="inlineStr">
        <is>
          <t>G3</t>
        </is>
      </c>
      <c r="H50" s="14" t="inlineStr">
        <is>
          <t>G3</t>
        </is>
      </c>
      <c r="I50" s="14" t="inlineStr">
        <is>
          <t>FIRST-BUILD (G1-G3)</t>
        </is>
      </c>
      <c r="J50" s="14" t="inlineStr">
        <is>
          <t>P0</t>
        </is>
      </c>
      <c r="K50" s="14" t="inlineStr">
        <is>
          <t>Partial—gap remains</t>
        </is>
      </c>
      <c r="L50" s="14" t="n"/>
      <c r="M50" s="14" t="n"/>
      <c r="N50" s="14" t="inlineStr">
        <is>
          <t>TM-TST-047</t>
        </is>
      </c>
      <c r="O50" s="14" t="inlineStr">
        <is>
          <t>Not verified — no build</t>
        </is>
      </c>
    </row>
    <row r="51" ht="15" customHeight="1" s="10">
      <c r="A51" s="14" t="inlineStr">
        <is>
          <t>TM-REQ-048</t>
        </is>
      </c>
      <c r="B51" s="14" t="inlineStr">
        <is>
          <t>Goal &amp; execution engine</t>
        </is>
      </c>
      <c r="C51" s="14" t="inlineStr">
        <is>
          <t>Do not infer task completion from untrusted sources alone</t>
        </is>
      </c>
      <c r="D51" s="14" t="inlineStr">
        <is>
          <t>P</t>
        </is>
      </c>
      <c r="E51" s="14" t="inlineStr">
        <is>
          <t>INT-17,INT-26</t>
        </is>
      </c>
      <c r="F51" s="14" t="inlineStr">
        <is>
          <t>R1</t>
        </is>
      </c>
      <c r="G51" s="14" t="inlineStr">
        <is>
          <t>G6</t>
        </is>
      </c>
      <c r="H51" s="14" t="inlineStr">
        <is>
          <t>G6</t>
        </is>
      </c>
      <c r="I51" s="14" t="inlineStr">
        <is>
          <t>FULL-SCOPE, LATER (G6)</t>
        </is>
      </c>
      <c r="J51" s="14" t="inlineStr">
        <is>
          <t>P1</t>
        </is>
      </c>
      <c r="K51" s="14" t="inlineStr">
        <is>
          <t>Partial—gap remains</t>
        </is>
      </c>
      <c r="L51" s="14" t="n"/>
      <c r="M51" s="14" t="n"/>
      <c r="N51" s="14" t="inlineStr">
        <is>
          <t>TM-TST-048</t>
        </is>
      </c>
      <c r="O51" s="14" t="inlineStr">
        <is>
          <t>Not verified — no build</t>
        </is>
      </c>
    </row>
    <row r="52" ht="21.75" customHeight="1" s="10">
      <c r="A52" s="14" t="inlineStr">
        <is>
          <t>TM-REQ-049</t>
        </is>
      </c>
      <c r="B52" s="14" t="inlineStr">
        <is>
          <t>Opportunity research &amp; markets</t>
        </is>
      </c>
      <c r="C52" s="14" t="inlineStr">
        <is>
          <t>Research local and global markets with source provenance</t>
        </is>
      </c>
      <c r="D52" s="14" t="inlineStr">
        <is>
          <t>P</t>
        </is>
      </c>
      <c r="E52" s="14" t="inlineStr">
        <is>
          <t>INT-18,INT-31</t>
        </is>
      </c>
      <c r="F52" s="14" t="inlineStr">
        <is>
          <t>R1</t>
        </is>
      </c>
      <c r="G52" s="14" t="inlineStr">
        <is>
          <t>G4</t>
        </is>
      </c>
      <c r="H52" s="14" t="inlineStr">
        <is>
          <t>G4</t>
        </is>
      </c>
      <c r="I52" s="14" t="inlineStr">
        <is>
          <t>FULL-SCOPE, LATER (G4)</t>
        </is>
      </c>
      <c r="J52" s="14" t="inlineStr">
        <is>
          <t>P1</t>
        </is>
      </c>
      <c r="K52" s="14" t="inlineStr">
        <is>
          <t>Documented—implementation unverified</t>
        </is>
      </c>
      <c r="L52" s="14" t="n"/>
      <c r="M52" s="14" t="n"/>
      <c r="N52" s="14" t="inlineStr">
        <is>
          <t>TM-TST-049</t>
        </is>
      </c>
      <c r="O52" s="14" t="inlineStr">
        <is>
          <t>Not verified — no build</t>
        </is>
      </c>
    </row>
    <row r="53" ht="21.75" customHeight="1" s="10">
      <c r="A53" s="14" t="inlineStr">
        <is>
          <t>TM-REQ-050</t>
        </is>
      </c>
      <c r="B53" s="14" t="inlineStr">
        <is>
          <t>Opportunity research &amp; markets</t>
        </is>
      </c>
      <c r="C53" s="14" t="inlineStr">
        <is>
          <t>Score demand, willingness to pay, competition and feasibility</t>
        </is>
      </c>
      <c r="D53" s="14" t="inlineStr">
        <is>
          <t>P</t>
        </is>
      </c>
      <c r="E53" s="14" t="inlineStr">
        <is>
          <t>INT-18,INT-31</t>
        </is>
      </c>
      <c r="F53" s="14" t="inlineStr">
        <is>
          <t>R1</t>
        </is>
      </c>
      <c r="G53" s="14" t="inlineStr">
        <is>
          <t>G4</t>
        </is>
      </c>
      <c r="H53" s="14" t="inlineStr">
        <is>
          <t>G4</t>
        </is>
      </c>
      <c r="I53" s="14" t="inlineStr">
        <is>
          <t>FULL-SCOPE, LATER (G4)</t>
        </is>
      </c>
      <c r="J53" s="14" t="inlineStr">
        <is>
          <t>P1</t>
        </is>
      </c>
      <c r="K53" s="14" t="inlineStr">
        <is>
          <t>Documented—implementation unverified</t>
        </is>
      </c>
      <c r="L53" s="14" t="n"/>
      <c r="M53" s="14" t="n"/>
      <c r="N53" s="14" t="inlineStr">
        <is>
          <t>TM-TST-050</t>
        </is>
      </c>
      <c r="O53" s="14" t="inlineStr">
        <is>
          <t>Not verified — no build</t>
        </is>
      </c>
    </row>
    <row r="54" ht="21.75" customHeight="1" s="10">
      <c r="A54" s="14" t="inlineStr">
        <is>
          <t>TM-REQ-051</t>
        </is>
      </c>
      <c r="B54" s="14" t="inlineStr">
        <is>
          <t>Opportunity research &amp; markets</t>
        </is>
      </c>
      <c r="C54" s="14" t="inlineStr">
        <is>
          <t>Validate ideas with low-cost tests before major investment</t>
        </is>
      </c>
      <c r="D54" s="14" t="inlineStr">
        <is>
          <t>P</t>
        </is>
      </c>
      <c r="E54" s="14" t="inlineStr">
        <is>
          <t>INT-18,INT-31</t>
        </is>
      </c>
      <c r="F54" s="14" t="inlineStr">
        <is>
          <t>R1</t>
        </is>
      </c>
      <c r="G54" s="14" t="inlineStr">
        <is>
          <t>G4</t>
        </is>
      </c>
      <c r="H54" s="14" t="inlineStr">
        <is>
          <t>G4</t>
        </is>
      </c>
      <c r="I54" s="14" t="inlineStr">
        <is>
          <t>FULL-SCOPE, LATER (G4)</t>
        </is>
      </c>
      <c r="J54" s="14" t="inlineStr">
        <is>
          <t>P0</t>
        </is>
      </c>
      <c r="K54" s="14" t="inlineStr">
        <is>
          <t>Documented—implementation unverified</t>
        </is>
      </c>
      <c r="L54" s="14" t="n"/>
      <c r="M54" s="14" t="n"/>
      <c r="N54" s="14" t="inlineStr">
        <is>
          <t>TM-TST-051</t>
        </is>
      </c>
      <c r="O54" s="14" t="inlineStr">
        <is>
          <t>Not verified — no build</t>
        </is>
      </c>
    </row>
    <row r="55" ht="21.75" customHeight="1" s="10">
      <c r="A55" s="14" t="inlineStr">
        <is>
          <t>TM-REQ-052</t>
        </is>
      </c>
      <c r="B55" s="14" t="inlineStr">
        <is>
          <t>Opportunity research &amp; markets</t>
        </is>
      </c>
      <c r="C55" s="14" t="inlineStr">
        <is>
          <t>Show evidence for and against; use base rates where defensible</t>
        </is>
      </c>
      <c r="D55" s="14" t="inlineStr">
        <is>
          <t>P</t>
        </is>
      </c>
      <c r="E55" s="14" t="inlineStr">
        <is>
          <t>INT-18,INT-31</t>
        </is>
      </c>
      <c r="F55" s="14" t="inlineStr">
        <is>
          <t>R1</t>
        </is>
      </c>
      <c r="G55" s="14" t="inlineStr">
        <is>
          <t>G4</t>
        </is>
      </c>
      <c r="H55" s="14" t="inlineStr">
        <is>
          <t>G4</t>
        </is>
      </c>
      <c r="I55" s="14" t="inlineStr">
        <is>
          <t>FULL-SCOPE, LATER (G4)</t>
        </is>
      </c>
      <c r="J55" s="14" t="inlineStr">
        <is>
          <t>P1</t>
        </is>
      </c>
      <c r="K55" s="14" t="inlineStr">
        <is>
          <t>Partial—gap remains</t>
        </is>
      </c>
      <c r="L55" s="14" t="n"/>
      <c r="M55" s="14" t="n"/>
      <c r="N55" s="14" t="inlineStr">
        <is>
          <t>TM-TST-052</t>
        </is>
      </c>
      <c r="O55" s="14" t="inlineStr">
        <is>
          <t>Not verified — no build</t>
        </is>
      </c>
    </row>
    <row r="56" ht="21.75" customHeight="1" s="10">
      <c r="A56" s="14" t="inlineStr">
        <is>
          <t>TM-REQ-053</t>
        </is>
      </c>
      <c r="B56" s="14" t="inlineStr">
        <is>
          <t>Opportunity research &amp; markets</t>
        </is>
      </c>
      <c r="C56" s="14" t="inlineStr">
        <is>
          <t>Compare 2–3 strong options and let user save/customize/replace</t>
        </is>
      </c>
      <c r="D56" s="14" t="inlineStr">
        <is>
          <t>U</t>
        </is>
      </c>
      <c r="E56" s="14" t="inlineStr">
        <is>
          <t>INT-18,INT-31</t>
        </is>
      </c>
      <c r="F56" s="14" t="inlineStr">
        <is>
          <t>R1</t>
        </is>
      </c>
      <c r="G56" s="14" t="inlineStr">
        <is>
          <t>G4</t>
        </is>
      </c>
      <c r="H56" s="14" t="inlineStr">
        <is>
          <t>G4</t>
        </is>
      </c>
      <c r="I56" s="14" t="inlineStr">
        <is>
          <t>FULL-SCOPE, LATER (G4)</t>
        </is>
      </c>
      <c r="J56" s="14" t="inlineStr">
        <is>
          <t>P0</t>
        </is>
      </c>
      <c r="K56" s="14" t="inlineStr">
        <is>
          <t>Documented—implementation unverified</t>
        </is>
      </c>
      <c r="L56" s="14" t="n"/>
      <c r="M56" s="14" t="n"/>
      <c r="N56" s="14" t="inlineStr">
        <is>
          <t>TM-TST-053</t>
        </is>
      </c>
      <c r="O56" s="14" t="inlineStr">
        <is>
          <t>Not verified — no build</t>
        </is>
      </c>
    </row>
    <row r="57" ht="21.75" customHeight="1" s="10">
      <c r="A57" s="14" t="inlineStr">
        <is>
          <t>TM-REQ-054</t>
        </is>
      </c>
      <c r="B57" s="14" t="inlineStr">
        <is>
          <t>Opportunity research &amp; markets</t>
        </is>
      </c>
      <c r="C57" s="14" t="inlineStr">
        <is>
          <t>Track price/offer/availability freshness and selected-option version</t>
        </is>
      </c>
      <c r="D57" s="14" t="inlineStr">
        <is>
          <t>P</t>
        </is>
      </c>
      <c r="E57" s="14" t="inlineStr">
        <is>
          <t>INT-18,INT-31</t>
        </is>
      </c>
      <c r="F57" s="14" t="inlineStr">
        <is>
          <t>R1</t>
        </is>
      </c>
      <c r="G57" s="14" t="inlineStr">
        <is>
          <t>G4</t>
        </is>
      </c>
      <c r="H57" s="14" t="inlineStr">
        <is>
          <t>G4</t>
        </is>
      </c>
      <c r="I57" s="14" t="inlineStr">
        <is>
          <t>FULL-SCOPE, LATER (G4)</t>
        </is>
      </c>
      <c r="J57" s="14" t="inlineStr">
        <is>
          <t>P1</t>
        </is>
      </c>
      <c r="K57" s="14" t="inlineStr">
        <is>
          <t>Partial—gap remains</t>
        </is>
      </c>
      <c r="L57" s="14" t="n"/>
      <c r="M57" s="14" t="n"/>
      <c r="N57" s="14" t="inlineStr">
        <is>
          <t>TM-TST-054</t>
        </is>
      </c>
      <c r="O57" s="14" t="inlineStr">
        <is>
          <t>Not verified — no build</t>
        </is>
      </c>
    </row>
    <row r="58" ht="21.75" customHeight="1" s="10">
      <c r="A58" s="14" t="inlineStr">
        <is>
          <t>TM-REQ-055</t>
        </is>
      </c>
      <c r="B58" s="14" t="inlineStr">
        <is>
          <t>Opportunity research &amp; markets</t>
        </is>
      </c>
      <c r="C58" s="14" t="inlineStr">
        <is>
          <t>Model scalable business-model families without forcing one</t>
        </is>
      </c>
      <c r="D58" s="14" t="inlineStr">
        <is>
          <t>S</t>
        </is>
      </c>
      <c r="E58" s="14" t="inlineStr">
        <is>
          <t>INT-18,INT-31</t>
        </is>
      </c>
      <c r="F58" s="14" t="inlineStr">
        <is>
          <t>R1</t>
        </is>
      </c>
      <c r="G58" s="14" t="inlineStr">
        <is>
          <t>G4</t>
        </is>
      </c>
      <c r="H58" s="14" t="inlineStr">
        <is>
          <t>G4</t>
        </is>
      </c>
      <c r="I58" s="14" t="inlineStr">
        <is>
          <t>FULL-SCOPE, LATER (G4)</t>
        </is>
      </c>
      <c r="J58" s="14" t="inlineStr">
        <is>
          <t>P1</t>
        </is>
      </c>
      <c r="K58" s="14" t="inlineStr">
        <is>
          <t>Documented—implementation unverified</t>
        </is>
      </c>
      <c r="L58" s="14" t="n"/>
      <c r="M58" s="14" t="n"/>
      <c r="N58" s="14" t="inlineStr">
        <is>
          <t>TM-TST-055</t>
        </is>
      </c>
      <c r="O58" s="14" t="inlineStr">
        <is>
          <t>Not verified — no build</t>
        </is>
      </c>
    </row>
    <row r="59" ht="21.75" customHeight="1" s="10">
      <c r="A59" s="14" t="inlineStr">
        <is>
          <t>TM-REQ-056</t>
        </is>
      </c>
      <c r="B59" s="14" t="inlineStr">
        <is>
          <t>Opportunity research &amp; markets</t>
        </is>
      </c>
      <c r="C59" s="14" t="inlineStr">
        <is>
          <t>Market/customer discovery and product-market fit evidence</t>
        </is>
      </c>
      <c r="D59" s="14" t="inlineStr">
        <is>
          <t>S</t>
        </is>
      </c>
      <c r="E59" s="14" t="inlineStr">
        <is>
          <t>INT-18,INT-31</t>
        </is>
      </c>
      <c r="F59" s="14" t="inlineStr">
        <is>
          <t>R1</t>
        </is>
      </c>
      <c r="G59" s="14" t="inlineStr">
        <is>
          <t>G4</t>
        </is>
      </c>
      <c r="H59" s="14" t="inlineStr">
        <is>
          <t>G4</t>
        </is>
      </c>
      <c r="I59" s="14" t="inlineStr">
        <is>
          <t>FULL-SCOPE, LATER (G4)</t>
        </is>
      </c>
      <c r="J59" s="14" t="inlineStr">
        <is>
          <t>P1</t>
        </is>
      </c>
      <c r="K59" s="14" t="inlineStr">
        <is>
          <t>Partial—gap remains</t>
        </is>
      </c>
      <c r="L59" s="14" t="n"/>
      <c r="M59" s="14" t="n"/>
      <c r="N59" s="14" t="inlineStr">
        <is>
          <t>TM-TST-056</t>
        </is>
      </c>
      <c r="O59" s="14" t="inlineStr">
        <is>
          <t>Not verified — no build</t>
        </is>
      </c>
    </row>
    <row r="60" ht="21.75" customHeight="1" s="10">
      <c r="A60" s="14" t="inlineStr">
        <is>
          <t>TM-REQ-057</t>
        </is>
      </c>
      <c r="B60" s="14" t="inlineStr">
        <is>
          <t>Opportunity research &amp; markets</t>
        </is>
      </c>
      <c r="C60" s="14" t="inlineStr">
        <is>
          <t>Unit economics, working capital and marginal cost</t>
        </is>
      </c>
      <c r="D60" s="14" t="inlineStr">
        <is>
          <t>S</t>
        </is>
      </c>
      <c r="E60" s="14" t="inlineStr">
        <is>
          <t>INT-18,INT-31</t>
        </is>
      </c>
      <c r="F60" s="14" t="inlineStr">
        <is>
          <t>R1</t>
        </is>
      </c>
      <c r="G60" s="14" t="inlineStr">
        <is>
          <t>G3</t>
        </is>
      </c>
      <c r="H60" s="14" t="inlineStr">
        <is>
          <t>G3</t>
        </is>
      </c>
      <c r="I60" s="14" t="inlineStr">
        <is>
          <t>FIRST-BUILD (G1-G3)</t>
        </is>
      </c>
      <c r="J60" s="14" t="inlineStr">
        <is>
          <t>P0</t>
        </is>
      </c>
      <c r="K60" s="14" t="inlineStr">
        <is>
          <t>Partial—gap remains</t>
        </is>
      </c>
      <c r="L60" s="14" t="n"/>
      <c r="M60" s="14" t="n"/>
      <c r="N60" s="14" t="inlineStr">
        <is>
          <t>TM-TST-057</t>
        </is>
      </c>
      <c r="O60" s="14" t="inlineStr">
        <is>
          <t>Not verified — no build</t>
        </is>
      </c>
    </row>
    <row r="61" ht="21.75" customHeight="1" s="10">
      <c r="A61" s="14" t="inlineStr">
        <is>
          <t>TM-REQ-058</t>
        </is>
      </c>
      <c r="B61" s="14" t="inlineStr">
        <is>
          <t>Opportunity research &amp; markets</t>
        </is>
      </c>
      <c r="C61" s="14" t="inlineStr">
        <is>
          <t>IP ownership, licensing and rights management</t>
        </is>
      </c>
      <c r="D61" s="14" t="inlineStr">
        <is>
          <t>S</t>
        </is>
      </c>
      <c r="E61" s="14" t="inlineStr">
        <is>
          <t>INT-18,INT-31</t>
        </is>
      </c>
      <c r="F61" s="14" t="inlineStr">
        <is>
          <t>R1</t>
        </is>
      </c>
      <c r="G61" s="14" t="inlineStr">
        <is>
          <t>G4</t>
        </is>
      </c>
      <c r="H61" s="14" t="inlineStr">
        <is>
          <t>G4</t>
        </is>
      </c>
      <c r="I61" s="14" t="inlineStr">
        <is>
          <t>FULL-SCOPE, LATER (G4)</t>
        </is>
      </c>
      <c r="J61" s="14" t="inlineStr">
        <is>
          <t>P1</t>
        </is>
      </c>
      <c r="K61" s="14" t="inlineStr">
        <is>
          <t>Partial—gap remains</t>
        </is>
      </c>
      <c r="L61" s="14" t="n"/>
      <c r="M61" s="14" t="n"/>
      <c r="N61" s="14" t="inlineStr">
        <is>
          <t>TM-TST-058</t>
        </is>
      </c>
      <c r="O61" s="14" t="inlineStr">
        <is>
          <t>Not verified — no build</t>
        </is>
      </c>
    </row>
    <row r="62" ht="21.75" customHeight="1" s="10">
      <c r="A62" s="14" t="inlineStr">
        <is>
          <t>TM-REQ-059</t>
        </is>
      </c>
      <c r="B62" s="14" t="inlineStr">
        <is>
          <t>Opportunity research &amp; markets</t>
        </is>
      </c>
      <c r="C62" s="14" t="inlineStr">
        <is>
          <t>Funding sources are current, eligible and costed</t>
        </is>
      </c>
      <c r="D62" s="14" t="inlineStr">
        <is>
          <t>S</t>
        </is>
      </c>
      <c r="E62" s="14" t="inlineStr">
        <is>
          <t>INT-18,INT-31</t>
        </is>
      </c>
      <c r="F62" s="14" t="inlineStr">
        <is>
          <t>R1</t>
        </is>
      </c>
      <c r="G62" s="14" t="inlineStr">
        <is>
          <t>G4</t>
        </is>
      </c>
      <c r="H62" s="14" t="inlineStr">
        <is>
          <t>G4</t>
        </is>
      </c>
      <c r="I62" s="14" t="inlineStr">
        <is>
          <t>FULL-SCOPE, LATER (G4)</t>
        </is>
      </c>
      <c r="J62" s="14" t="inlineStr">
        <is>
          <t>P1</t>
        </is>
      </c>
      <c r="K62" s="14" t="inlineStr">
        <is>
          <t>External verification required</t>
        </is>
      </c>
      <c r="L62" s="14" t="n"/>
      <c r="M62" s="14" t="n"/>
      <c r="N62" s="14" t="inlineStr">
        <is>
          <t>TM-TST-059</t>
        </is>
      </c>
      <c r="O62" s="14" t="inlineStr">
        <is>
          <t>Not verified — no build</t>
        </is>
      </c>
    </row>
    <row r="63" ht="21.75" customHeight="1" s="10">
      <c r="A63" s="14" t="inlineStr">
        <is>
          <t>TM-REQ-060</t>
        </is>
      </c>
      <c r="B63" s="14" t="inlineStr">
        <is>
          <t>Opportunity research &amp; markets</t>
        </is>
      </c>
      <c r="C63" s="14" t="inlineStr">
        <is>
          <t>Local-to-national scale gate requires repeatability</t>
        </is>
      </c>
      <c r="D63" s="14" t="inlineStr">
        <is>
          <t>S</t>
        </is>
      </c>
      <c r="E63" s="14" t="inlineStr">
        <is>
          <t>INT-18,INT-31</t>
        </is>
      </c>
      <c r="F63" s="14" t="inlineStr">
        <is>
          <t>R1</t>
        </is>
      </c>
      <c r="G63" s="14" t="inlineStr">
        <is>
          <t>G3</t>
        </is>
      </c>
      <c r="H63" s="14" t="inlineStr">
        <is>
          <t>G4</t>
        </is>
      </c>
      <c r="I63" s="14" t="inlineStr">
        <is>
          <t>FIRST-BUILD (G1-G3)</t>
        </is>
      </c>
      <c r="J63" s="14" t="inlineStr">
        <is>
          <t>P0</t>
        </is>
      </c>
      <c r="K63" s="14" t="inlineStr">
        <is>
          <t>Partial—gap remains</t>
        </is>
      </c>
      <c r="L63" s="14" t="n"/>
      <c r="M63" s="14" t="n"/>
      <c r="N63" s="14" t="inlineStr">
        <is>
          <t>TM-TST-060</t>
        </is>
      </c>
      <c r="O63" s="14" t="inlineStr">
        <is>
          <t>Not verified — no build</t>
        </is>
      </c>
    </row>
    <row r="64" ht="21.75" customHeight="1" s="10">
      <c r="A64" s="14" t="inlineStr">
        <is>
          <t>TM-REQ-061</t>
        </is>
      </c>
      <c r="B64" s="14" t="inlineStr">
        <is>
          <t>Opportunity research &amp; markets</t>
        </is>
      </c>
      <c r="C64" s="14" t="inlineStr">
        <is>
          <t>International readiness includes downside and compliance runway</t>
        </is>
      </c>
      <c r="D64" s="14" t="inlineStr">
        <is>
          <t>S</t>
        </is>
      </c>
      <c r="E64" s="14" t="inlineStr">
        <is>
          <t>INT-18,INT-31</t>
        </is>
      </c>
      <c r="F64" s="14" t="inlineStr">
        <is>
          <t>R1</t>
        </is>
      </c>
      <c r="G64" s="14" t="inlineStr">
        <is>
          <t>G4</t>
        </is>
      </c>
      <c r="H64" s="14" t="inlineStr">
        <is>
          <t>G4</t>
        </is>
      </c>
      <c r="I64" s="14" t="inlineStr">
        <is>
          <t>FULL-SCOPE, LATER (G4)</t>
        </is>
      </c>
      <c r="J64" s="14" t="inlineStr">
        <is>
          <t>P0</t>
        </is>
      </c>
      <c r="K64" s="14" t="inlineStr">
        <is>
          <t>Partial—gap remains</t>
        </is>
      </c>
      <c r="L64" s="14" t="n"/>
      <c r="M64" s="14" t="n"/>
      <c r="N64" s="14" t="inlineStr">
        <is>
          <t>TM-TST-061</t>
        </is>
      </c>
      <c r="O64" s="14" t="inlineStr">
        <is>
          <t>Not verified — no build</t>
        </is>
      </c>
    </row>
    <row r="65" ht="21.75" customHeight="1" s="10">
      <c r="A65" s="14" t="inlineStr">
        <is>
          <t>TM-REQ-062</t>
        </is>
      </c>
      <c r="B65" s="14" t="inlineStr">
        <is>
          <t>Opportunity research &amp; markets</t>
        </is>
      </c>
      <c r="C65" s="14" t="inlineStr">
        <is>
          <t>Country/entry-model comparison and pilot planning</t>
        </is>
      </c>
      <c r="D65" s="14" t="inlineStr">
        <is>
          <t>S</t>
        </is>
      </c>
      <c r="E65" s="14" t="inlineStr">
        <is>
          <t>INT-18,INT-31</t>
        </is>
      </c>
      <c r="F65" s="14" t="inlineStr">
        <is>
          <t>R1</t>
        </is>
      </c>
      <c r="G65" s="14" t="inlineStr">
        <is>
          <t>G4</t>
        </is>
      </c>
      <c r="H65" s="14" t="inlineStr">
        <is>
          <t>G4</t>
        </is>
      </c>
      <c r="I65" s="14" t="inlineStr">
        <is>
          <t>FULL-SCOPE, LATER (G4)</t>
        </is>
      </c>
      <c r="J65" s="14" t="inlineStr">
        <is>
          <t>P1</t>
        </is>
      </c>
      <c r="K65" s="14" t="inlineStr">
        <is>
          <t>Documented—implementation unverified</t>
        </is>
      </c>
      <c r="L65" s="14" t="n"/>
      <c r="M65" s="14" t="n"/>
      <c r="N65" s="14" t="inlineStr">
        <is>
          <t>TM-TST-062</t>
        </is>
      </c>
      <c r="O65" s="14" t="inlineStr">
        <is>
          <t>Not verified — no build</t>
        </is>
      </c>
    </row>
    <row r="66" ht="21.75" customHeight="1" s="10">
      <c r="A66" s="14" t="inlineStr">
        <is>
          <t>TM-REQ-063</t>
        </is>
      </c>
      <c r="B66" s="14" t="inlineStr">
        <is>
          <t>Opportunity research &amp; markets</t>
        </is>
      </c>
      <c r="C66" s="14" t="inlineStr">
        <is>
          <t>Compliance calendar changes with jurisdiction and date</t>
        </is>
      </c>
      <c r="D66" s="14" t="inlineStr">
        <is>
          <t>P</t>
        </is>
      </c>
      <c r="E66" s="14" t="inlineStr">
        <is>
          <t>INT-18,INT-31</t>
        </is>
      </c>
      <c r="F66" s="14" t="inlineStr">
        <is>
          <t>R1</t>
        </is>
      </c>
      <c r="G66" s="14" t="inlineStr">
        <is>
          <t>G4</t>
        </is>
      </c>
      <c r="H66" s="14" t="inlineStr">
        <is>
          <t>G4</t>
        </is>
      </c>
      <c r="I66" s="14" t="inlineStr">
        <is>
          <t>FULL-SCOPE, LATER (G4)</t>
        </is>
      </c>
      <c r="J66" s="14" t="inlineStr">
        <is>
          <t>P0</t>
        </is>
      </c>
      <c r="K66" s="14" t="inlineStr">
        <is>
          <t>External verification required</t>
        </is>
      </c>
      <c r="L66" s="14" t="n"/>
      <c r="M66" s="14" t="n"/>
      <c r="N66" s="14" t="inlineStr">
        <is>
          <t>TM-TST-063</t>
        </is>
      </c>
      <c r="O66" s="14" t="inlineStr">
        <is>
          <t>Not verified — no build</t>
        </is>
      </c>
    </row>
    <row r="67" ht="21.75" customHeight="1" s="10">
      <c r="A67" s="14" t="inlineStr">
        <is>
          <t>TM-REQ-064</t>
        </is>
      </c>
      <c r="B67" s="14" t="inlineStr">
        <is>
          <t>Opportunity research &amp; markets</t>
        </is>
      </c>
      <c r="C67" s="14" t="inlineStr">
        <is>
          <t>Franchise/SaaS public productization only after internal repeatability</t>
        </is>
      </c>
      <c r="D67" s="14" t="inlineStr">
        <is>
          <t>S</t>
        </is>
      </c>
      <c r="E67" s="14" t="inlineStr">
        <is>
          <t>INT-18,INT-31</t>
        </is>
      </c>
      <c r="F67" s="14" t="inlineStr">
        <is>
          <t>R2</t>
        </is>
      </c>
      <c r="G67" s="14" t="inlineStr">
        <is>
          <t>G8</t>
        </is>
      </c>
      <c r="H67" s="14" t="inlineStr">
        <is>
          <t>G8</t>
        </is>
      </c>
      <c r="I67" s="14" t="inlineStr">
        <is>
          <t>FULL-SCOPE, LATER (G8)</t>
        </is>
      </c>
      <c r="J67" s="14" t="inlineStr">
        <is>
          <t>P2</t>
        </is>
      </c>
      <c r="K67" s="14" t="inlineStr">
        <is>
          <t>Partial—gap remains</t>
        </is>
      </c>
      <c r="L67" s="14" t="n"/>
      <c r="M67" s="14" t="n"/>
      <c r="N67" s="14" t="inlineStr">
        <is>
          <t>TM-TST-064</t>
        </is>
      </c>
      <c r="O67" s="14" t="inlineStr">
        <is>
          <t>Not verified — no build</t>
        </is>
      </c>
    </row>
    <row r="68" ht="21.75" customHeight="1" s="10">
      <c r="A68" s="14" t="inlineStr">
        <is>
          <t>TM-REQ-065</t>
        </is>
      </c>
      <c r="B68" s="14" t="inlineStr">
        <is>
          <t>Visual-first UX</t>
        </is>
      </c>
      <c r="C68" s="14" t="inlineStr">
        <is>
          <t>Build connected diagrams/cards, not static poster images</t>
        </is>
      </c>
      <c r="D68" s="14" t="inlineStr">
        <is>
          <t>U+B</t>
        </is>
      </c>
      <c r="E68" s="14" t="inlineStr">
        <is>
          <t>INT-16,INT-04,INT-34</t>
        </is>
      </c>
      <c r="F68" s="14" t="inlineStr">
        <is>
          <t>R1</t>
        </is>
      </c>
      <c r="G68" s="14" t="inlineStr">
        <is>
          <t>G1</t>
        </is>
      </c>
      <c r="H68" s="14" t="inlineStr">
        <is>
          <t>G3</t>
        </is>
      </c>
      <c r="I68" s="14" t="inlineStr">
        <is>
          <t>FIRST-BUILD (G1-G3)</t>
        </is>
      </c>
      <c r="J68" s="14" t="inlineStr">
        <is>
          <t>P0</t>
        </is>
      </c>
      <c r="K68" s="14" t="inlineStr">
        <is>
          <t>Documented—implementation unverified</t>
        </is>
      </c>
      <c r="L68" s="14" t="n"/>
      <c r="M68" s="14" t="n"/>
      <c r="N68" s="14" t="inlineStr">
        <is>
          <t>TM-TST-065</t>
        </is>
      </c>
      <c r="O68" s="14" t="inlineStr">
        <is>
          <t>Not verified — no build</t>
        </is>
      </c>
    </row>
    <row r="69" ht="21.75" customHeight="1" s="10">
      <c r="A69" s="14" t="inlineStr">
        <is>
          <t>TM-REQ-066</t>
        </is>
      </c>
      <c r="B69" s="14" t="inlineStr">
        <is>
          <t>Visual-first UX</t>
        </is>
      </c>
      <c r="C69" s="14" t="inlineStr">
        <is>
          <t>Every field explains what/why/example/format/importance</t>
        </is>
      </c>
      <c r="D69" s="14" t="inlineStr">
        <is>
          <t>U</t>
        </is>
      </c>
      <c r="E69" s="14" t="inlineStr">
        <is>
          <t>INT-16,INT-04,INT-34</t>
        </is>
      </c>
      <c r="F69" s="14" t="inlineStr">
        <is>
          <t>R1</t>
        </is>
      </c>
      <c r="G69" s="14" t="inlineStr">
        <is>
          <t>G1</t>
        </is>
      </c>
      <c r="H69" s="14" t="inlineStr">
        <is>
          <t>G1</t>
        </is>
      </c>
      <c r="I69" s="14" t="inlineStr">
        <is>
          <t>FIRST-BUILD (G1-G3)</t>
        </is>
      </c>
      <c r="J69" s="14" t="inlineStr">
        <is>
          <t>P0</t>
        </is>
      </c>
      <c r="K69" s="14" t="inlineStr">
        <is>
          <t>Documented—implementation unverified</t>
        </is>
      </c>
      <c r="L69" s="14" t="n"/>
      <c r="M69" s="14" t="n"/>
      <c r="N69" s="14" t="inlineStr">
        <is>
          <t>TM-TST-066</t>
        </is>
      </c>
      <c r="O69" s="14" t="inlineStr">
        <is>
          <t>Partial — automated part passes; manual/human gate pending — see Tests v2</t>
        </is>
      </c>
    </row>
    <row r="70" ht="21.75" customHeight="1" s="10">
      <c r="A70" s="14" t="inlineStr">
        <is>
          <t>TM-REQ-067</t>
        </is>
      </c>
      <c r="B70" s="14" t="inlineStr">
        <is>
          <t>Visual-first UX</t>
        </is>
      </c>
      <c r="C70" s="14" t="inlineStr">
        <is>
          <t>Use progressive disclosure and completeness indicators</t>
        </is>
      </c>
      <c r="D70" s="14" t="inlineStr">
        <is>
          <t>U</t>
        </is>
      </c>
      <c r="E70" s="14" t="inlineStr">
        <is>
          <t>INT-16,INT-04,INT-34</t>
        </is>
      </c>
      <c r="F70" s="14" t="inlineStr">
        <is>
          <t>R1</t>
        </is>
      </c>
      <c r="G70" s="14" t="inlineStr">
        <is>
          <t>G1</t>
        </is>
      </c>
      <c r="H70" s="14" t="inlineStr">
        <is>
          <t>G1</t>
        </is>
      </c>
      <c r="I70" s="14" t="inlineStr">
        <is>
          <t>FIRST-BUILD (G1-G3)</t>
        </is>
      </c>
      <c r="J70" s="14" t="inlineStr">
        <is>
          <t>P1</t>
        </is>
      </c>
      <c r="K70" s="14" t="inlineStr">
        <is>
          <t>Partial—gap remains</t>
        </is>
      </c>
      <c r="L70" s="14" t="n"/>
      <c r="M70" s="14" t="n"/>
      <c r="N70" s="14" t="inlineStr">
        <is>
          <t>TM-TST-067</t>
        </is>
      </c>
      <c r="O70" s="14" t="inlineStr">
        <is>
          <t>Partial — automated part passes; manual/human gate pending — see Tests v2</t>
        </is>
      </c>
    </row>
    <row r="71" ht="21.75" customHeight="1" s="10">
      <c r="A71" s="14" t="inlineStr">
        <is>
          <t>TM-REQ-068</t>
        </is>
      </c>
      <c r="B71" s="14" t="inlineStr">
        <is>
          <t>Visual-first UX</t>
        </is>
      </c>
      <c r="C71" s="14" t="inlineStr">
        <is>
          <t>Provide form and text equivalents to every visual flow</t>
        </is>
      </c>
      <c r="D71" s="14" t="inlineStr">
        <is>
          <t>P</t>
        </is>
      </c>
      <c r="E71" s="14" t="inlineStr">
        <is>
          <t>INT-16,INT-04,INT-34</t>
        </is>
      </c>
      <c r="F71" s="14" t="inlineStr">
        <is>
          <t>R1</t>
        </is>
      </c>
      <c r="G71" s="14" t="inlineStr">
        <is>
          <t>G1</t>
        </is>
      </c>
      <c r="H71" s="14" t="inlineStr">
        <is>
          <t>G2</t>
        </is>
      </c>
      <c r="I71" s="14" t="inlineStr">
        <is>
          <t>FIRST-BUILD (G1-G3)</t>
        </is>
      </c>
      <c r="J71" s="14" t="inlineStr">
        <is>
          <t>P1</t>
        </is>
      </c>
      <c r="K71" s="14" t="inlineStr">
        <is>
          <t>Partial—gap remains</t>
        </is>
      </c>
      <c r="L71" s="14" t="n"/>
      <c r="M71" s="14" t="n"/>
      <c r="N71" s="14" t="inlineStr">
        <is>
          <t>TM-TST-068</t>
        </is>
      </c>
      <c r="O71" s="14" t="inlineStr">
        <is>
          <t>Not verified — no build</t>
        </is>
      </c>
    </row>
    <row r="72" ht="21.75" customHeight="1" s="10">
      <c r="A72" s="14" t="inlineStr">
        <is>
          <t>TM-REQ-069</t>
        </is>
      </c>
      <c r="B72" s="14" t="inlineStr">
        <is>
          <t>Visual-first UX</t>
        </is>
      </c>
      <c r="C72" s="14" t="inlineStr">
        <is>
          <t>Bangla/English quality and local conventions</t>
        </is>
      </c>
      <c r="D72" s="14" t="inlineStr">
        <is>
          <t>S</t>
        </is>
      </c>
      <c r="E72" s="14" t="inlineStr">
        <is>
          <t>INT-16,INT-04,INT-34</t>
        </is>
      </c>
      <c r="F72" s="14" t="inlineStr">
        <is>
          <t>R1</t>
        </is>
      </c>
      <c r="G72" s="14" t="inlineStr">
        <is>
          <t>G1</t>
        </is>
      </c>
      <c r="H72" s="14" t="inlineStr">
        <is>
          <t>G2</t>
        </is>
      </c>
      <c r="I72" s="14" t="inlineStr">
        <is>
          <t>FIRST-BUILD (G1-G3)</t>
        </is>
      </c>
      <c r="J72" s="14" t="inlineStr">
        <is>
          <t>P1</t>
        </is>
      </c>
      <c r="K72" s="14" t="inlineStr">
        <is>
          <t>Partial—gap remains</t>
        </is>
      </c>
      <c r="L72" s="14" t="n"/>
      <c r="M72" s="14" t="n"/>
      <c r="N72" s="14" t="inlineStr">
        <is>
          <t>TM-TST-069</t>
        </is>
      </c>
      <c r="O72" s="14" t="inlineStr">
        <is>
          <t>Not verified — no build</t>
        </is>
      </c>
    </row>
    <row r="73" ht="21.75" customHeight="1" s="10">
      <c r="A73" s="14" t="inlineStr">
        <is>
          <t>TM-REQ-070</t>
        </is>
      </c>
      <c r="B73" s="14" t="inlineStr">
        <is>
          <t>Visual-first UX</t>
        </is>
      </c>
      <c r="C73" s="14" t="inlineStr">
        <is>
          <t>Android-first, small screen, low bandwidth and optional desktop</t>
        </is>
      </c>
      <c r="D73" s="14" t="inlineStr">
        <is>
          <t>B</t>
        </is>
      </c>
      <c r="E73" s="14" t="inlineStr">
        <is>
          <t>INT-16,INT-04,INT-34</t>
        </is>
      </c>
      <c r="F73" s="14" t="inlineStr">
        <is>
          <t>R1</t>
        </is>
      </c>
      <c r="G73" s="14" t="inlineStr">
        <is>
          <t>G1</t>
        </is>
      </c>
      <c r="H73" s="14" t="inlineStr">
        <is>
          <t>G2</t>
        </is>
      </c>
      <c r="I73" s="14" t="inlineStr">
        <is>
          <t>FIRST-BUILD (G1-G3)</t>
        </is>
      </c>
      <c r="J73" s="14" t="inlineStr">
        <is>
          <t>P1</t>
        </is>
      </c>
      <c r="K73" s="14" t="inlineStr">
        <is>
          <t>Partial—gap remains</t>
        </is>
      </c>
      <c r="L73" s="14" t="n"/>
      <c r="M73" s="14" t="inlineStr">
        <is>
          <t>D-A</t>
        </is>
      </c>
      <c r="N73" s="14" t="inlineStr">
        <is>
          <t>TM-TST-070</t>
        </is>
      </c>
      <c r="O73" s="14" t="inlineStr">
        <is>
          <t>Not verified — no build</t>
        </is>
      </c>
    </row>
    <row r="74" ht="21.75" customHeight="1" s="10">
      <c r="A74" s="14" t="inlineStr">
        <is>
          <t>TM-REQ-071</t>
        </is>
      </c>
      <c r="B74" s="14" t="inlineStr">
        <is>
          <t>Visual-first UX</t>
        </is>
      </c>
      <c r="C74" s="14" t="inlineStr">
        <is>
          <t>Use reminders without intrusive or shaming patterns</t>
        </is>
      </c>
      <c r="D74" s="14" t="inlineStr">
        <is>
          <t>P</t>
        </is>
      </c>
      <c r="E74" s="14" t="inlineStr">
        <is>
          <t>INT-16,INT-04,INT-34</t>
        </is>
      </c>
      <c r="F74" s="14" t="inlineStr">
        <is>
          <t>R1</t>
        </is>
      </c>
      <c r="G74" s="14" t="inlineStr">
        <is>
          <t>G2</t>
        </is>
      </c>
      <c r="H74" s="14" t="inlineStr">
        <is>
          <t>G2</t>
        </is>
      </c>
      <c r="I74" s="14" t="inlineStr">
        <is>
          <t>FIRST-BUILD (G1-G3)</t>
        </is>
      </c>
      <c r="J74" s="14" t="inlineStr">
        <is>
          <t>P1</t>
        </is>
      </c>
      <c r="K74" s="14" t="inlineStr">
        <is>
          <t>Partial—gap remains</t>
        </is>
      </c>
      <c r="L74" s="14" t="n"/>
      <c r="M74" s="14" t="inlineStr">
        <is>
          <t>D-A</t>
        </is>
      </c>
      <c r="N74" s="14" t="inlineStr">
        <is>
          <t>TM-TST-071</t>
        </is>
      </c>
      <c r="O74" s="14" t="inlineStr">
        <is>
          <t>Not verified — no build</t>
        </is>
      </c>
    </row>
    <row r="75" ht="21.75" customHeight="1" s="10">
      <c r="A75" s="14" t="inlineStr">
        <is>
          <t>TM-REQ-072</t>
        </is>
      </c>
      <c r="B75" s="14" t="inlineStr">
        <is>
          <t>AI &amp; research</t>
        </is>
      </c>
      <c r="C75" s="14" t="inlineStr">
        <is>
          <t>Keep canonical user data in the application database</t>
        </is>
      </c>
      <c r="D75" s="14" t="inlineStr">
        <is>
          <t>P</t>
        </is>
      </c>
      <c r="E75" s="14" t="inlineStr">
        <is>
          <t>INT-22,INT-35</t>
        </is>
      </c>
      <c r="F75" s="14" t="inlineStr">
        <is>
          <t>R0</t>
        </is>
      </c>
      <c r="G75" s="14" t="inlineStr">
        <is>
          <t>G1</t>
        </is>
      </c>
      <c r="H75" s="14" t="inlineStr">
        <is>
          <t>G6</t>
        </is>
      </c>
      <c r="I75" s="14" t="inlineStr">
        <is>
          <t>FIRST-BUILD (G1-G3)</t>
        </is>
      </c>
      <c r="J75" s="14" t="inlineStr">
        <is>
          <t>P0</t>
        </is>
      </c>
      <c r="K75" s="14" t="inlineStr">
        <is>
          <t>Documented—implementation unverified</t>
        </is>
      </c>
      <c r="L75" s="14" t="inlineStr">
        <is>
          <t>see 083 (cross-link)</t>
        </is>
      </c>
      <c r="M75" s="14" t="inlineStr">
        <is>
          <t>D-C</t>
        </is>
      </c>
      <c r="N75" s="14" t="inlineStr">
        <is>
          <t>TM-TST-072</t>
        </is>
      </c>
      <c r="O75" s="14" t="inlineStr">
        <is>
          <t>Not verified — no build</t>
        </is>
      </c>
    </row>
    <row r="76" ht="21.75" customHeight="1" s="10">
      <c r="A76" s="14" t="inlineStr">
        <is>
          <t>TM-REQ-073</t>
        </is>
      </c>
      <c r="B76" s="14" t="inlineStr">
        <is>
          <t>AI &amp; research</t>
        </is>
      </c>
      <c r="C76" s="14" t="inlineStr">
        <is>
          <t>Use structured outputs and validated tools, not free-form action parsing</t>
        </is>
      </c>
      <c r="D76" s="14" t="inlineStr">
        <is>
          <t>P</t>
        </is>
      </c>
      <c r="E76" s="14" t="inlineStr">
        <is>
          <t>INT-22,INT-35</t>
        </is>
      </c>
      <c r="F76" s="14" t="inlineStr">
        <is>
          <t>R0</t>
        </is>
      </c>
      <c r="G76" s="14" t="inlineStr">
        <is>
          <t>G6</t>
        </is>
      </c>
      <c r="H76" s="14" t="inlineStr">
        <is>
          <t>G6</t>
        </is>
      </c>
      <c r="I76" s="14" t="inlineStr">
        <is>
          <t>FULL-SCOPE, LATER (G6)</t>
        </is>
      </c>
      <c r="J76" s="14" t="inlineStr">
        <is>
          <t>P0</t>
        </is>
      </c>
      <c r="K76" s="14" t="inlineStr">
        <is>
          <t>Documented—implementation unverified</t>
        </is>
      </c>
      <c r="L76" s="14" t="n"/>
      <c r="M76" s="14" t="inlineStr">
        <is>
          <t>D-C</t>
        </is>
      </c>
      <c r="N76" s="14" t="inlineStr">
        <is>
          <t>TM-TST-073</t>
        </is>
      </c>
      <c r="O76" s="14" t="inlineStr">
        <is>
          <t>Not verified — no build</t>
        </is>
      </c>
    </row>
    <row r="77" ht="21.75" customHeight="1" s="10">
      <c r="A77" s="14" t="inlineStr">
        <is>
          <t>TM-REQ-074</t>
        </is>
      </c>
      <c r="B77" s="14" t="inlineStr">
        <is>
          <t>AI &amp; research</t>
        </is>
      </c>
      <c r="C77" s="14" t="inlineStr">
        <is>
          <t>Keep model vs code responsibilities explicit</t>
        </is>
      </c>
      <c r="D77" s="14" t="inlineStr">
        <is>
          <t>P</t>
        </is>
      </c>
      <c r="E77" s="14" t="inlineStr">
        <is>
          <t>INT-22,INT-35</t>
        </is>
      </c>
      <c r="F77" s="14" t="inlineStr">
        <is>
          <t>R0</t>
        </is>
      </c>
      <c r="G77" s="14" t="inlineStr">
        <is>
          <t>G3</t>
        </is>
      </c>
      <c r="H77" s="14" t="inlineStr">
        <is>
          <t>G3</t>
        </is>
      </c>
      <c r="I77" s="14" t="inlineStr">
        <is>
          <t>FIRST-BUILD (G1-G3)</t>
        </is>
      </c>
      <c r="J77" s="14" t="inlineStr">
        <is>
          <t>P0</t>
        </is>
      </c>
      <c r="K77" s="14" t="inlineStr">
        <is>
          <t>Documented—implementation unverified</t>
        </is>
      </c>
      <c r="L77" s="14" t="n"/>
      <c r="M77" s="14" t="n"/>
      <c r="N77" s="14" t="inlineStr">
        <is>
          <t>TM-TST-074</t>
        </is>
      </c>
      <c r="O77" s="14" t="inlineStr">
        <is>
          <t>Not verified — no build</t>
        </is>
      </c>
    </row>
    <row r="78" ht="21.75" customHeight="1" s="10">
      <c r="A78" s="14" t="inlineStr">
        <is>
          <t>TM-REQ-075</t>
        </is>
      </c>
      <c r="B78" s="14" t="inlineStr">
        <is>
          <t>AI &amp; research</t>
        </is>
      </c>
      <c r="C78" s="14" t="inlineStr">
        <is>
          <t>Treat web pages, PDFs, images and connector output as untrusted input</t>
        </is>
      </c>
      <c r="D78" s="14" t="inlineStr">
        <is>
          <t>P</t>
        </is>
      </c>
      <c r="E78" s="14" t="inlineStr">
        <is>
          <t>INT-22,INT-35</t>
        </is>
      </c>
      <c r="F78" s="14" t="inlineStr">
        <is>
          <t>R0</t>
        </is>
      </c>
      <c r="G78" s="14" t="inlineStr">
        <is>
          <t>G6</t>
        </is>
      </c>
      <c r="H78" s="14" t="inlineStr">
        <is>
          <t>G6</t>
        </is>
      </c>
      <c r="I78" s="14" t="inlineStr">
        <is>
          <t>FULL-SCOPE, LATER (G6)</t>
        </is>
      </c>
      <c r="J78" s="14" t="inlineStr">
        <is>
          <t>P0</t>
        </is>
      </c>
      <c r="K78" s="14" t="inlineStr">
        <is>
          <t>Partial—gap remains</t>
        </is>
      </c>
      <c r="L78" s="14" t="n"/>
      <c r="M78" s="14" t="inlineStr">
        <is>
          <t>D-C</t>
        </is>
      </c>
      <c r="N78" s="14" t="inlineStr">
        <is>
          <t>TM-TST-075</t>
        </is>
      </c>
      <c r="O78" s="14" t="inlineStr">
        <is>
          <t>Not verified — no build</t>
        </is>
      </c>
    </row>
    <row r="79" ht="15" customHeight="1" s="10">
      <c r="A79" s="14" t="inlineStr">
        <is>
          <t>TM-REQ-076</t>
        </is>
      </c>
      <c r="B79" s="14" t="inlineStr">
        <is>
          <t>AI &amp; research</t>
        </is>
      </c>
      <c r="C79" s="14" t="inlineStr">
        <is>
          <t>Cite sources, dates, confidence, conflict and unknowns</t>
        </is>
      </c>
      <c r="D79" s="14" t="inlineStr">
        <is>
          <t>P</t>
        </is>
      </c>
      <c r="E79" s="14" t="inlineStr">
        <is>
          <t>INT-22,INT-35</t>
        </is>
      </c>
      <c r="F79" s="14" t="inlineStr">
        <is>
          <t>R1</t>
        </is>
      </c>
      <c r="G79" s="14" t="inlineStr">
        <is>
          <t>G4</t>
        </is>
      </c>
      <c r="H79" s="14" t="inlineStr">
        <is>
          <t>G4</t>
        </is>
      </c>
      <c r="I79" s="14" t="inlineStr">
        <is>
          <t>FULL-SCOPE, LATER (G4)</t>
        </is>
      </c>
      <c r="J79" s="14" t="inlineStr">
        <is>
          <t>P1</t>
        </is>
      </c>
      <c r="K79" s="14" t="inlineStr">
        <is>
          <t>Partial—gap remains</t>
        </is>
      </c>
      <c r="L79" s="14" t="n"/>
      <c r="M79" s="14" t="n"/>
      <c r="N79" s="14" t="inlineStr">
        <is>
          <t>TM-TST-076</t>
        </is>
      </c>
      <c r="O79" s="14" t="inlineStr">
        <is>
          <t>Not verified — no build</t>
        </is>
      </c>
    </row>
    <row r="80" ht="15" customHeight="1" s="10">
      <c r="A80" s="14" t="inlineStr">
        <is>
          <t>TM-REQ-077</t>
        </is>
      </c>
      <c r="B80" s="14" t="inlineStr">
        <is>
          <t>AI &amp; research</t>
        </is>
      </c>
      <c r="C80" s="14" t="inlineStr">
        <is>
          <t>Feature-specific provider retention and deletion mapping</t>
        </is>
      </c>
      <c r="D80" s="14" t="inlineStr">
        <is>
          <t>P</t>
        </is>
      </c>
      <c r="E80" s="14" t="inlineStr">
        <is>
          <t>INT-22,INT-35</t>
        </is>
      </c>
      <c r="F80" s="14" t="inlineStr">
        <is>
          <t>R0</t>
        </is>
      </c>
      <c r="G80" s="14" t="inlineStr">
        <is>
          <t>G6</t>
        </is>
      </c>
      <c r="H80" s="14" t="inlineStr">
        <is>
          <t>G6</t>
        </is>
      </c>
      <c r="I80" s="14" t="inlineStr">
        <is>
          <t>FULL-SCOPE, LATER (G6)</t>
        </is>
      </c>
      <c r="J80" s="14" t="inlineStr">
        <is>
          <t>P0</t>
        </is>
      </c>
      <c r="K80" s="14" t="inlineStr">
        <is>
          <t>External verification required</t>
        </is>
      </c>
      <c r="L80" s="14" t="n"/>
      <c r="M80" s="14" t="inlineStr">
        <is>
          <t>D-C</t>
        </is>
      </c>
      <c r="N80" s="14" t="inlineStr">
        <is>
          <t>TM-TST-077</t>
        </is>
      </c>
      <c r="O80" s="14" t="inlineStr">
        <is>
          <t>Not verified — no build</t>
        </is>
      </c>
    </row>
    <row r="81" ht="21.75" customHeight="1" s="10">
      <c r="A81" s="14" t="inlineStr">
        <is>
          <t>TM-REQ-078</t>
        </is>
      </c>
      <c r="B81" s="14" t="inlineStr">
        <is>
          <t>AI &amp; research</t>
        </is>
      </c>
      <c r="C81" s="14" t="inlineStr">
        <is>
          <t>Never expose API key in Android/browser client</t>
        </is>
      </c>
      <c r="D81" s="14" t="inlineStr">
        <is>
          <t>P</t>
        </is>
      </c>
      <c r="E81" s="14" t="inlineStr">
        <is>
          <t>INT-22,INT-35</t>
        </is>
      </c>
      <c r="F81" s="14" t="inlineStr">
        <is>
          <t>R0</t>
        </is>
      </c>
      <c r="G81" s="14" t="inlineStr">
        <is>
          <t>G6</t>
        </is>
      </c>
      <c r="H81" s="14" t="inlineStr">
        <is>
          <t>G6</t>
        </is>
      </c>
      <c r="I81" s="14" t="inlineStr">
        <is>
          <t>FULL-SCOPE, LATER (G6)</t>
        </is>
      </c>
      <c r="J81" s="14" t="inlineStr">
        <is>
          <t>P0</t>
        </is>
      </c>
      <c r="K81" s="14" t="inlineStr">
        <is>
          <t>Documented—implementation unverified</t>
        </is>
      </c>
      <c r="L81" s="14" t="n"/>
      <c r="M81" s="14" t="inlineStr">
        <is>
          <t>D-C</t>
        </is>
      </c>
      <c r="N81" s="14" t="inlineStr">
        <is>
          <t>TM-TST-078</t>
        </is>
      </c>
      <c r="O81" s="14" t="inlineStr">
        <is>
          <t>Not verified — no build</t>
        </is>
      </c>
    </row>
    <row r="82" ht="15" customHeight="1" s="10">
      <c r="A82" s="14" t="inlineStr">
        <is>
          <t>TM-REQ-079</t>
        </is>
      </c>
      <c r="B82" s="14" t="inlineStr">
        <is>
          <t>AI &amp; research</t>
        </is>
      </c>
      <c r="C82" s="14" t="inlineStr">
        <is>
          <t>Cost, quota, rate limits and offline mode stop uncontrolled calls</t>
        </is>
      </c>
      <c r="D82" s="14" t="inlineStr">
        <is>
          <t>P</t>
        </is>
      </c>
      <c r="E82" s="14" t="inlineStr">
        <is>
          <t>INT-22,INT-35</t>
        </is>
      </c>
      <c r="F82" s="14" t="inlineStr">
        <is>
          <t>R0</t>
        </is>
      </c>
      <c r="G82" s="14" t="inlineStr">
        <is>
          <t>G6</t>
        </is>
      </c>
      <c r="H82" s="14" t="inlineStr">
        <is>
          <t>G6</t>
        </is>
      </c>
      <c r="I82" s="14" t="inlineStr">
        <is>
          <t>FULL-SCOPE, LATER (G6)</t>
        </is>
      </c>
      <c r="J82" s="14" t="inlineStr">
        <is>
          <t>P0</t>
        </is>
      </c>
      <c r="K82" s="14" t="inlineStr">
        <is>
          <t>Partial—gap remains</t>
        </is>
      </c>
      <c r="L82" s="14" t="n"/>
      <c r="M82" s="14" t="inlineStr">
        <is>
          <t>D-C</t>
        </is>
      </c>
      <c r="N82" s="14" t="inlineStr">
        <is>
          <t>TM-TST-079</t>
        </is>
      </c>
      <c r="O82" s="14" t="inlineStr">
        <is>
          <t>Not verified — no build</t>
        </is>
      </c>
    </row>
    <row r="83" ht="15" customHeight="1" s="10">
      <c r="A83" s="14" t="inlineStr">
        <is>
          <t>TM-REQ-080</t>
        </is>
      </c>
      <c r="B83" s="14" t="inlineStr">
        <is>
          <t>AI &amp; research</t>
        </is>
      </c>
      <c r="C83" s="14" t="inlineStr">
        <is>
          <t>Own versioned regression/evaluation suite</t>
        </is>
      </c>
      <c r="D83" s="14" t="inlineStr">
        <is>
          <t>P</t>
        </is>
      </c>
      <c r="E83" s="14" t="inlineStr">
        <is>
          <t>INT-22,INT-35</t>
        </is>
      </c>
      <c r="F83" s="14" t="inlineStr">
        <is>
          <t>R1</t>
        </is>
      </c>
      <c r="G83" s="14" t="inlineStr">
        <is>
          <t>G6</t>
        </is>
      </c>
      <c r="H83" s="14" t="inlineStr">
        <is>
          <t>G6</t>
        </is>
      </c>
      <c r="I83" s="14" t="inlineStr">
        <is>
          <t>FULL-SCOPE, LATER (G6)</t>
        </is>
      </c>
      <c r="J83" s="14" t="inlineStr">
        <is>
          <t>P0</t>
        </is>
      </c>
      <c r="K83" s="14" t="inlineStr">
        <is>
          <t>Partial—gap remains</t>
        </is>
      </c>
      <c r="L83" s="14" t="n"/>
      <c r="M83" s="14" t="inlineStr">
        <is>
          <t>D-C</t>
        </is>
      </c>
      <c r="N83" s="14" t="inlineStr">
        <is>
          <t>TM-TST-080</t>
        </is>
      </c>
      <c r="O83" s="14" t="inlineStr">
        <is>
          <t>Not verified — no build</t>
        </is>
      </c>
    </row>
    <row r="84" ht="15" customHeight="1" s="10">
      <c r="A84" s="14" t="inlineStr">
        <is>
          <t>TM-REQ-081</t>
        </is>
      </c>
      <c r="B84" s="14" t="inlineStr">
        <is>
          <t>AI &amp; research</t>
        </is>
      </c>
      <c r="C84" s="14" t="inlineStr">
        <is>
          <t>Do not claim continuous learning unless mechanism is real</t>
        </is>
      </c>
      <c r="D84" s="14" t="inlineStr">
        <is>
          <t>P</t>
        </is>
      </c>
      <c r="E84" s="14" t="inlineStr">
        <is>
          <t>INT-22,INT-35</t>
        </is>
      </c>
      <c r="F84" s="14" t="inlineStr">
        <is>
          <t>R1</t>
        </is>
      </c>
      <c r="G84" s="14" t="inlineStr">
        <is>
          <t>G6</t>
        </is>
      </c>
      <c r="H84" s="14" t="inlineStr">
        <is>
          <t>G6</t>
        </is>
      </c>
      <c r="I84" s="14" t="inlineStr">
        <is>
          <t>FULL-SCOPE, LATER (G6)</t>
        </is>
      </c>
      <c r="J84" s="14" t="inlineStr">
        <is>
          <t>P1</t>
        </is>
      </c>
      <c r="K84" s="14" t="inlineStr">
        <is>
          <t>Source conflict / stale-risk</t>
        </is>
      </c>
      <c r="L84" s="14" t="n"/>
      <c r="M84" s="14" t="inlineStr">
        <is>
          <t>D-C</t>
        </is>
      </c>
      <c r="N84" s="14" t="inlineStr">
        <is>
          <t>TM-TST-081</t>
        </is>
      </c>
      <c r="O84" s="14" t="inlineStr">
        <is>
          <t>Not verified — no build</t>
        </is>
      </c>
    </row>
    <row r="85" ht="15" customHeight="1" s="10">
      <c r="A85" s="14" t="inlineStr">
        <is>
          <t>TM-REQ-082</t>
        </is>
      </c>
      <c r="B85" s="14" t="inlineStr">
        <is>
          <t>AI &amp; research</t>
        </is>
      </c>
      <c r="C85" s="14" t="inlineStr">
        <is>
          <t>Use least privilege and purpose-limited tool scopes</t>
        </is>
      </c>
      <c r="D85" s="14" t="inlineStr">
        <is>
          <t>P</t>
        </is>
      </c>
      <c r="E85" s="14" t="inlineStr">
        <is>
          <t>INT-22,INT-35</t>
        </is>
      </c>
      <c r="F85" s="14" t="inlineStr">
        <is>
          <t>R0</t>
        </is>
      </c>
      <c r="G85" s="14" t="inlineStr">
        <is>
          <t>G6</t>
        </is>
      </c>
      <c r="H85" s="14" t="inlineStr">
        <is>
          <t>G6</t>
        </is>
      </c>
      <c r="I85" s="14" t="inlineStr">
        <is>
          <t>FULL-SCOPE, LATER (G6)</t>
        </is>
      </c>
      <c r="J85" s="14" t="inlineStr">
        <is>
          <t>P0</t>
        </is>
      </c>
      <c r="K85" s="14" t="inlineStr">
        <is>
          <t>Partial—gap remains</t>
        </is>
      </c>
      <c r="L85" s="14" t="n"/>
      <c r="M85" s="14" t="inlineStr">
        <is>
          <t>D-C</t>
        </is>
      </c>
      <c r="N85" s="14" t="inlineStr">
        <is>
          <t>TM-TST-082</t>
        </is>
      </c>
      <c r="O85" s="14" t="inlineStr">
        <is>
          <t>Not verified — no build</t>
        </is>
      </c>
    </row>
    <row r="86" ht="15" customHeight="1" s="10">
      <c r="A86" s="14" t="inlineStr">
        <is>
          <t>TM-REQ-083</t>
        </is>
      </c>
      <c r="B86" s="14" t="inlineStr">
        <is>
          <t>AI &amp; research</t>
        </is>
      </c>
      <c r="C86" s="14" t="inlineStr">
        <is>
          <t>Support multiple providers without locking core data to one model</t>
        </is>
      </c>
      <c r="D86" s="14" t="inlineStr">
        <is>
          <t>P</t>
        </is>
      </c>
      <c r="E86" s="14" t="inlineStr">
        <is>
          <t>INT-22,INT-35</t>
        </is>
      </c>
      <c r="F86" s="14" t="inlineStr">
        <is>
          <t>R1</t>
        </is>
      </c>
      <c r="G86" s="14" t="inlineStr">
        <is>
          <t>G6</t>
        </is>
      </c>
      <c r="H86" s="14" t="inlineStr">
        <is>
          <t>G6</t>
        </is>
      </c>
      <c r="I86" s="14" t="inlineStr">
        <is>
          <t>FULL-SCOPE, LATER (G6)</t>
        </is>
      </c>
      <c r="J86" s="14" t="inlineStr">
        <is>
          <t>P1</t>
        </is>
      </c>
      <c r="K86" s="14" t="inlineStr">
        <is>
          <t>Partial—gap remains</t>
        </is>
      </c>
      <c r="L86" s="14" t="inlineStr">
        <is>
          <t>see 072 (cross-link)</t>
        </is>
      </c>
      <c r="M86" s="14" t="inlineStr">
        <is>
          <t>D-C</t>
        </is>
      </c>
      <c r="N86" s="14" t="inlineStr">
        <is>
          <t>TM-TST-083</t>
        </is>
      </c>
      <c r="O86" s="14" t="inlineStr">
        <is>
          <t>Not verified — no build</t>
        </is>
      </c>
    </row>
    <row r="87" ht="21.75" customHeight="1" s="10">
      <c r="A87" s="14" t="inlineStr">
        <is>
          <t>TM-REQ-084</t>
        </is>
      </c>
      <c r="B87" s="14" t="inlineStr">
        <is>
          <t>Offline &amp; resilience</t>
        </is>
      </c>
      <c r="C87" s="14" t="inlineStr">
        <is>
          <t>Useful core works offline from local data source</t>
        </is>
      </c>
      <c r="D87" s="14" t="inlineStr">
        <is>
          <t>B</t>
        </is>
      </c>
      <c r="E87" s="14" t="inlineStr">
        <is>
          <t>INT-15,INT-34</t>
        </is>
      </c>
      <c r="F87" s="14" t="inlineStr">
        <is>
          <t>R0</t>
        </is>
      </c>
      <c r="G87" s="14" t="inlineStr">
        <is>
          <t>G2</t>
        </is>
      </c>
      <c r="H87" s="14" t="inlineStr">
        <is>
          <t>G2</t>
        </is>
      </c>
      <c r="I87" s="14" t="inlineStr">
        <is>
          <t>FIRST-BUILD (G1-G3)</t>
        </is>
      </c>
      <c r="J87" s="14" t="inlineStr">
        <is>
          <t>P0</t>
        </is>
      </c>
      <c r="K87" s="14" t="inlineStr">
        <is>
          <t>Documented—implementation unverified</t>
        </is>
      </c>
      <c r="L87" s="14" t="n"/>
      <c r="M87" s="14" t="inlineStr">
        <is>
          <t>D-A</t>
        </is>
      </c>
      <c r="N87" s="14" t="inlineStr">
        <is>
          <t>TM-TST-084</t>
        </is>
      </c>
      <c r="O87" s="14" t="inlineStr">
        <is>
          <t>Not verified — no build</t>
        </is>
      </c>
    </row>
    <row r="88" ht="15" customHeight="1" s="10">
      <c r="A88" s="14" t="inlineStr">
        <is>
          <t>TM-REQ-085</t>
        </is>
      </c>
      <c r="B88" s="14" t="inlineStr">
        <is>
          <t>Offline &amp; resilience</t>
        </is>
      </c>
      <c r="C88" s="14" t="inlineStr">
        <is>
          <t>Offline operation queue uses stable IDs and idempotent replay</t>
        </is>
      </c>
      <c r="D88" s="14" t="inlineStr">
        <is>
          <t>B</t>
        </is>
      </c>
      <c r="E88" s="14" t="inlineStr">
        <is>
          <t>INT-15,INT-34</t>
        </is>
      </c>
      <c r="F88" s="14" t="inlineStr">
        <is>
          <t>R0</t>
        </is>
      </c>
      <c r="G88" s="14" t="inlineStr">
        <is>
          <t>G2</t>
        </is>
      </c>
      <c r="H88" s="14" t="inlineStr">
        <is>
          <t>G2</t>
        </is>
      </c>
      <c r="I88" s="14" t="inlineStr">
        <is>
          <t>FIRST-BUILD (G1-G3)</t>
        </is>
      </c>
      <c r="J88" s="14" t="inlineStr">
        <is>
          <t>P0</t>
        </is>
      </c>
      <c r="K88" s="14" t="inlineStr">
        <is>
          <t>Partial—gap remains</t>
        </is>
      </c>
      <c r="L88" s="14" t="n"/>
      <c r="M88" s="14" t="inlineStr">
        <is>
          <t>D-A</t>
        </is>
      </c>
      <c r="N88" s="14" t="inlineStr">
        <is>
          <t>TM-TST-085</t>
        </is>
      </c>
      <c r="O88" s="14" t="inlineStr">
        <is>
          <t>Not verified — no build</t>
        </is>
      </c>
    </row>
    <row r="89" ht="15" customHeight="1" s="10">
      <c r="A89" s="14" t="inlineStr">
        <is>
          <t>TM-REQ-086</t>
        </is>
      </c>
      <c r="B89" s="14" t="inlineStr">
        <is>
          <t>Offline &amp; resilience</t>
        </is>
      </c>
      <c r="C89" s="14" t="inlineStr">
        <is>
          <t>Sync conflicts have visible, safe resolution</t>
        </is>
      </c>
      <c r="D89" s="14" t="inlineStr">
        <is>
          <t>B</t>
        </is>
      </c>
      <c r="E89" s="14" t="inlineStr">
        <is>
          <t>INT-15,INT-34</t>
        </is>
      </c>
      <c r="F89" s="14" t="inlineStr">
        <is>
          <t>R0</t>
        </is>
      </c>
      <c r="G89" s="14" t="inlineStr">
        <is>
          <t>G2</t>
        </is>
      </c>
      <c r="H89" s="14" t="inlineStr">
        <is>
          <t>G2</t>
        </is>
      </c>
      <c r="I89" s="14" t="inlineStr">
        <is>
          <t>FIRST-BUILD (G1-G3)</t>
        </is>
      </c>
      <c r="J89" s="14" t="inlineStr">
        <is>
          <t>P0</t>
        </is>
      </c>
      <c r="K89" s="14" t="inlineStr">
        <is>
          <t>Partial—gap remains</t>
        </is>
      </c>
      <c r="L89" s="14" t="n"/>
      <c r="M89" s="14" t="inlineStr">
        <is>
          <t>D-A</t>
        </is>
      </c>
      <c r="N89" s="14" t="inlineStr">
        <is>
          <t>TM-TST-086</t>
        </is>
      </c>
      <c r="O89" s="14" t="inlineStr">
        <is>
          <t>Not verified — no build</t>
        </is>
      </c>
    </row>
    <row r="90" ht="15" customHeight="1" s="10">
      <c r="A90" s="14" t="inlineStr">
        <is>
          <t>TM-REQ-087</t>
        </is>
      </c>
      <c r="B90" s="14" t="inlineStr">
        <is>
          <t>Offline &amp; resilience</t>
        </is>
      </c>
      <c r="C90" s="14" t="inlineStr">
        <is>
          <t>Show freshness, queue, error and last-sync states</t>
        </is>
      </c>
      <c r="D90" s="14" t="inlineStr">
        <is>
          <t>B</t>
        </is>
      </c>
      <c r="E90" s="14" t="inlineStr">
        <is>
          <t>INT-15,INT-34</t>
        </is>
      </c>
      <c r="F90" s="14" t="inlineStr">
        <is>
          <t>R1</t>
        </is>
      </c>
      <c r="G90" s="14" t="inlineStr">
        <is>
          <t>G2</t>
        </is>
      </c>
      <c r="H90" s="14" t="inlineStr">
        <is>
          <t>G2</t>
        </is>
      </c>
      <c r="I90" s="14" t="inlineStr">
        <is>
          <t>FIRST-BUILD (G1-G3)</t>
        </is>
      </c>
      <c r="J90" s="14" t="inlineStr">
        <is>
          <t>P1</t>
        </is>
      </c>
      <c r="K90" s="14" t="inlineStr">
        <is>
          <t>Partial—gap remains</t>
        </is>
      </c>
      <c r="L90" s="14" t="n"/>
      <c r="M90" s="14" t="inlineStr">
        <is>
          <t>D-A</t>
        </is>
      </c>
      <c r="N90" s="14" t="inlineStr">
        <is>
          <t>TM-TST-087</t>
        </is>
      </c>
      <c r="O90" s="14" t="inlineStr">
        <is>
          <t>Not verified — no build</t>
        </is>
      </c>
    </row>
    <row r="91" ht="15" customHeight="1" s="10">
      <c r="A91" s="14" t="inlineStr">
        <is>
          <t>TM-REQ-088</t>
        </is>
      </c>
      <c r="B91" s="14" t="inlineStr">
        <is>
          <t>Offline &amp; resilience</t>
        </is>
      </c>
      <c r="C91" s="14" t="inlineStr">
        <is>
          <t>Backups are encrypted, versioned and actually restorable</t>
        </is>
      </c>
      <c r="D91" s="14" t="inlineStr">
        <is>
          <t>B</t>
        </is>
      </c>
      <c r="E91" s="14" t="inlineStr">
        <is>
          <t>INT-15,INT-34</t>
        </is>
      </c>
      <c r="F91" s="14" t="inlineStr">
        <is>
          <t>R0</t>
        </is>
      </c>
      <c r="G91" s="14" t="inlineStr">
        <is>
          <t>G2</t>
        </is>
      </c>
      <c r="H91" s="14" t="inlineStr">
        <is>
          <t>G2</t>
        </is>
      </c>
      <c r="I91" s="14" t="inlineStr">
        <is>
          <t>FIRST-BUILD (G1-G3)</t>
        </is>
      </c>
      <c r="J91" s="14" t="inlineStr">
        <is>
          <t>P0</t>
        </is>
      </c>
      <c r="K91" s="14" t="inlineStr">
        <is>
          <t>Partial—gap remains</t>
        </is>
      </c>
      <c r="L91" s="14" t="n"/>
      <c r="M91" s="14" t="inlineStr">
        <is>
          <t>D-A</t>
        </is>
      </c>
      <c r="N91" s="14" t="inlineStr">
        <is>
          <t>TM-TST-088</t>
        </is>
      </c>
      <c r="O91" s="14" t="inlineStr">
        <is>
          <t>Not verified — no build</t>
        </is>
      </c>
    </row>
    <row r="92" ht="15" customHeight="1" s="10">
      <c r="A92" s="14" t="inlineStr">
        <is>
          <t>TM-REQ-089</t>
        </is>
      </c>
      <c r="B92" s="14" t="inlineStr">
        <is>
          <t>Offline &amp; resilience</t>
        </is>
      </c>
      <c r="C92" s="14" t="inlineStr">
        <is>
          <t>Schema migration and rollback strategy</t>
        </is>
      </c>
      <c r="D92" s="14" t="inlineStr">
        <is>
          <t>P</t>
        </is>
      </c>
      <c r="E92" s="14" t="inlineStr">
        <is>
          <t>INT-15,INT-34</t>
        </is>
      </c>
      <c r="F92" s="14" t="inlineStr">
        <is>
          <t>R1</t>
        </is>
      </c>
      <c r="G92" s="14" t="inlineStr">
        <is>
          <t>G2</t>
        </is>
      </c>
      <c r="H92" s="14" t="inlineStr">
        <is>
          <t>G2</t>
        </is>
      </c>
      <c r="I92" s="14" t="inlineStr">
        <is>
          <t>FIRST-BUILD (G1-G3)</t>
        </is>
      </c>
      <c r="J92" s="14" t="inlineStr">
        <is>
          <t>P1</t>
        </is>
      </c>
      <c r="K92" s="14" t="inlineStr">
        <is>
          <t>Partial—gap remains</t>
        </is>
      </c>
      <c r="L92" s="14" t="n"/>
      <c r="M92" s="14" t="inlineStr">
        <is>
          <t>D-A</t>
        </is>
      </c>
      <c r="N92" s="14" t="inlineStr">
        <is>
          <t>TM-TST-089</t>
        </is>
      </c>
      <c r="O92" s="14" t="inlineStr">
        <is>
          <t>Not verified — no build</t>
        </is>
      </c>
    </row>
    <row r="93" ht="15" customHeight="1" s="10">
      <c r="A93" s="14" t="inlineStr">
        <is>
          <t>TM-REQ-090</t>
        </is>
      </c>
      <c r="B93" s="14" t="inlineStr">
        <is>
          <t>Offline &amp; resilience</t>
        </is>
      </c>
      <c r="C93" s="14" t="inlineStr">
        <is>
          <t>Device loss/account recovery and session revocation</t>
        </is>
      </c>
      <c r="D93" s="14" t="inlineStr">
        <is>
          <t>P</t>
        </is>
      </c>
      <c r="E93" s="14" t="inlineStr">
        <is>
          <t>INT-15,INT-34</t>
        </is>
      </c>
      <c r="F93" s="14" t="inlineStr">
        <is>
          <t>R1</t>
        </is>
      </c>
      <c r="G93" s="14" t="inlineStr">
        <is>
          <t>G2</t>
        </is>
      </c>
      <c r="H93" s="14" t="inlineStr">
        <is>
          <t>G7</t>
        </is>
      </c>
      <c r="I93" s="14" t="inlineStr">
        <is>
          <t>FIRST-BUILD (G1-G3)</t>
        </is>
      </c>
      <c r="J93" s="14" t="inlineStr">
        <is>
          <t>P1</t>
        </is>
      </c>
      <c r="K93" s="14" t="inlineStr">
        <is>
          <t>Partial—gap remains</t>
        </is>
      </c>
      <c r="L93" s="14" t="n"/>
      <c r="M93" s="14" t="inlineStr">
        <is>
          <t>D-A</t>
        </is>
      </c>
      <c r="N93" s="14" t="inlineStr">
        <is>
          <t>TM-TST-090</t>
        </is>
      </c>
      <c r="O93" s="14" t="inlineStr">
        <is>
          <t>Not verified — no build</t>
        </is>
      </c>
    </row>
    <row r="94" ht="15" customHeight="1" s="10">
      <c r="A94" s="14" t="inlineStr">
        <is>
          <t>TM-REQ-091</t>
        </is>
      </c>
      <c r="B94" s="14" t="inlineStr">
        <is>
          <t>Offline &amp; resilience</t>
        </is>
      </c>
      <c r="C94" s="14" t="inlineStr">
        <is>
          <t>Offline religious schedule and content show limitations honestly</t>
        </is>
      </c>
      <c r="D94" s="14" t="inlineStr">
        <is>
          <t>P</t>
        </is>
      </c>
      <c r="E94" s="14" t="inlineStr">
        <is>
          <t>INT-15,INT-34</t>
        </is>
      </c>
      <c r="F94" s="14" t="inlineStr">
        <is>
          <t>R1</t>
        </is>
      </c>
      <c r="G94" s="14" t="inlineStr">
        <is>
          <t>G5</t>
        </is>
      </c>
      <c r="H94" s="14" t="inlineStr">
        <is>
          <t>G5</t>
        </is>
      </c>
      <c r="I94" s="14" t="inlineStr">
        <is>
          <t>FULL-SCOPE, LATER (G5)</t>
        </is>
      </c>
      <c r="J94" s="14" t="inlineStr">
        <is>
          <t>P1</t>
        </is>
      </c>
      <c r="K94" s="14" t="inlineStr">
        <is>
          <t>Partial—gap remains</t>
        </is>
      </c>
      <c r="L94" s="14" t="inlineStr">
        <is>
          <t>see 101,112</t>
        </is>
      </c>
      <c r="M94" s="14" t="inlineStr">
        <is>
          <t>D-D</t>
        </is>
      </c>
      <c r="N94" s="14" t="inlineStr">
        <is>
          <t>TM-TST-091</t>
        </is>
      </c>
      <c r="O94" s="14" t="inlineStr">
        <is>
          <t>Not verified — no build</t>
        </is>
      </c>
    </row>
    <row r="95" ht="15" customHeight="1" s="10">
      <c r="A95" s="14" t="inlineStr">
        <is>
          <t>TM-REQ-092</t>
        </is>
      </c>
      <c r="B95" s="14" t="inlineStr">
        <is>
          <t>Security, privacy &amp; compliance</t>
        </is>
      </c>
      <c r="C95" s="14" t="inlineStr">
        <is>
          <t>Classify and minimize sensitive and third-party data</t>
        </is>
      </c>
      <c r="D95" s="14" t="inlineStr">
        <is>
          <t>P</t>
        </is>
      </c>
      <c r="E95" s="14" t="inlineStr">
        <is>
          <t>INT-22</t>
        </is>
      </c>
      <c r="F95" s="14" t="inlineStr">
        <is>
          <t>R0</t>
        </is>
      </c>
      <c r="G95" s="14" t="inlineStr">
        <is>
          <t>G1</t>
        </is>
      </c>
      <c r="H95" s="14" t="inlineStr">
        <is>
          <t>G1</t>
        </is>
      </c>
      <c r="I95" s="14" t="inlineStr">
        <is>
          <t>FIRST-BUILD (G1-G3)</t>
        </is>
      </c>
      <c r="J95" s="14" t="inlineStr">
        <is>
          <t>P0</t>
        </is>
      </c>
      <c r="K95" s="14" t="inlineStr">
        <is>
          <t>Partial—gap remains</t>
        </is>
      </c>
      <c r="L95" s="14" t="n"/>
      <c r="M95" s="14" t="inlineStr">
        <is>
          <t>D-B</t>
        </is>
      </c>
      <c r="N95" s="14" t="inlineStr">
        <is>
          <t>TM-TST-092</t>
        </is>
      </c>
      <c r="O95" s="14" t="inlineStr">
        <is>
          <t>Verified for G1 scope (automated evidence) — see Tests v2</t>
        </is>
      </c>
    </row>
    <row r="96" ht="15" customHeight="1" s="10">
      <c r="A96" s="14" t="inlineStr">
        <is>
          <t>TM-REQ-093</t>
        </is>
      </c>
      <c r="B96" s="14" t="inlineStr">
        <is>
          <t>Security, privacy &amp; compliance</t>
        </is>
      </c>
      <c r="C96" s="14" t="inlineStr">
        <is>
          <t>Explicit consent by purpose and integration</t>
        </is>
      </c>
      <c r="D96" s="14" t="inlineStr">
        <is>
          <t>P</t>
        </is>
      </c>
      <c r="E96" s="14" t="inlineStr">
        <is>
          <t>INT-22</t>
        </is>
      </c>
      <c r="F96" s="14" t="inlineStr">
        <is>
          <t>R0</t>
        </is>
      </c>
      <c r="G96" s="14" t="inlineStr">
        <is>
          <t>G1</t>
        </is>
      </c>
      <c r="H96" s="14" t="inlineStr">
        <is>
          <t>G7</t>
        </is>
      </c>
      <c r="I96" s="14" t="inlineStr">
        <is>
          <t>FIRST-BUILD (G1-G3)</t>
        </is>
      </c>
      <c r="J96" s="14" t="inlineStr">
        <is>
          <t>P0</t>
        </is>
      </c>
      <c r="K96" s="14" t="inlineStr">
        <is>
          <t>Partial—gap remains</t>
        </is>
      </c>
      <c r="L96" s="14" t="n"/>
      <c r="M96" s="14" t="inlineStr">
        <is>
          <t>D-B</t>
        </is>
      </c>
      <c r="N96" s="14" t="inlineStr">
        <is>
          <t>TM-TST-093</t>
        </is>
      </c>
      <c r="O96" s="14" t="inlineStr">
        <is>
          <t>Not verified — no build</t>
        </is>
      </c>
    </row>
    <row r="97" ht="15" customHeight="1" s="10">
      <c r="A97" s="14" t="inlineStr">
        <is>
          <t>TM-REQ-094</t>
        </is>
      </c>
      <c r="B97" s="14" t="inlineStr">
        <is>
          <t>Security, privacy &amp; compliance</t>
        </is>
      </c>
      <c r="C97" s="14" t="inlineStr">
        <is>
          <t>Access, correction, portability, deletion and withdrawal workflows</t>
        </is>
      </c>
      <c r="D97" s="14" t="inlineStr">
        <is>
          <t>P</t>
        </is>
      </c>
      <c r="E97" s="14" t="inlineStr">
        <is>
          <t>INT-22</t>
        </is>
      </c>
      <c r="F97" s="14" t="inlineStr">
        <is>
          <t>R0</t>
        </is>
      </c>
      <c r="G97" s="14" t="inlineStr">
        <is>
          <t>G2</t>
        </is>
      </c>
      <c r="H97" s="14" t="inlineStr">
        <is>
          <t>G7</t>
        </is>
      </c>
      <c r="I97" s="14" t="inlineStr">
        <is>
          <t>FIRST-BUILD (G1-G3)</t>
        </is>
      </c>
      <c r="J97" s="14" t="inlineStr">
        <is>
          <t>P0</t>
        </is>
      </c>
      <c r="K97" s="14" t="inlineStr">
        <is>
          <t>Partial—gap remains</t>
        </is>
      </c>
      <c r="L97" s="14" t="n"/>
      <c r="M97" s="14" t="inlineStr">
        <is>
          <t>D-B</t>
        </is>
      </c>
      <c r="N97" s="14" t="inlineStr">
        <is>
          <t>TM-TST-094</t>
        </is>
      </c>
      <c r="O97" s="14" t="inlineStr">
        <is>
          <t>Not verified — no build</t>
        </is>
      </c>
    </row>
    <row r="98" ht="15" customHeight="1" s="10">
      <c r="A98" s="14" t="inlineStr">
        <is>
          <t>TM-REQ-095</t>
        </is>
      </c>
      <c r="B98" s="14" t="inlineStr">
        <is>
          <t>Security, privacy &amp; compliance</t>
        </is>
      </c>
      <c r="C98" s="14" t="inlineStr">
        <is>
          <t>Bangladesh law register and legal review</t>
        </is>
      </c>
      <c r="D98" s="14" t="inlineStr">
        <is>
          <t>P</t>
        </is>
      </c>
      <c r="E98" s="14" t="inlineStr">
        <is>
          <t>INT-22</t>
        </is>
      </c>
      <c r="F98" s="14" t="inlineStr">
        <is>
          <t>R0</t>
        </is>
      </c>
      <c r="G98" s="14" t="inlineStr">
        <is>
          <t>G7</t>
        </is>
      </c>
      <c r="H98" s="14" t="inlineStr">
        <is>
          <t>G7</t>
        </is>
      </c>
      <c r="I98" s="14" t="inlineStr">
        <is>
          <t>FULL-SCOPE, LATER (G7)</t>
        </is>
      </c>
      <c r="J98" s="14" t="inlineStr">
        <is>
          <t>P0</t>
        </is>
      </c>
      <c r="K98" s="14" t="inlineStr">
        <is>
          <t>External verification required</t>
        </is>
      </c>
      <c r="L98" s="14" t="n"/>
      <c r="M98" s="14" t="inlineStr">
        <is>
          <t>D-B</t>
        </is>
      </c>
      <c r="N98" s="14" t="inlineStr">
        <is>
          <t>TM-TST-095</t>
        </is>
      </c>
      <c r="O98" s="14" t="inlineStr">
        <is>
          <t>Not verified — no build</t>
        </is>
      </c>
    </row>
    <row r="99" ht="15" customHeight="1" s="10">
      <c r="A99" s="14" t="inlineStr">
        <is>
          <t>TM-REQ-096</t>
        </is>
      </c>
      <c r="B99" s="14" t="inlineStr">
        <is>
          <t>Security, privacy &amp; compliance</t>
        </is>
      </c>
      <c r="C99" s="14" t="inlineStr">
        <is>
          <t>Encryption, secret management and role/data scopes</t>
        </is>
      </c>
      <c r="D99" s="14" t="inlineStr">
        <is>
          <t>P</t>
        </is>
      </c>
      <c r="E99" s="14" t="inlineStr">
        <is>
          <t>INT-22</t>
        </is>
      </c>
      <c r="F99" s="14" t="inlineStr">
        <is>
          <t>R0</t>
        </is>
      </c>
      <c r="G99" s="14" t="inlineStr">
        <is>
          <t>G2</t>
        </is>
      </c>
      <c r="H99" s="14" t="inlineStr">
        <is>
          <t>G7</t>
        </is>
      </c>
      <c r="I99" s="14" t="inlineStr">
        <is>
          <t>FIRST-BUILD (G1-G3)</t>
        </is>
      </c>
      <c r="J99" s="14" t="inlineStr">
        <is>
          <t>P0</t>
        </is>
      </c>
      <c r="K99" s="14" t="inlineStr">
        <is>
          <t>Partial—gap remains</t>
        </is>
      </c>
      <c r="L99" s="14" t="n"/>
      <c r="M99" s="14" t="inlineStr">
        <is>
          <t>D-B</t>
        </is>
      </c>
      <c r="N99" s="14" t="inlineStr">
        <is>
          <t>TM-TST-096</t>
        </is>
      </c>
      <c r="O99" s="14" t="inlineStr">
        <is>
          <t>Not verified — no build</t>
        </is>
      </c>
    </row>
    <row r="100" ht="15" customHeight="1" s="10">
      <c r="A100" s="14" t="inlineStr">
        <is>
          <t>TM-REQ-097</t>
        </is>
      </c>
      <c r="B100" s="14" t="inlineStr">
        <is>
          <t>Security, privacy &amp; compliance</t>
        </is>
      </c>
      <c r="C100" s="14" t="inlineStr">
        <is>
          <t>Audit logs are useful without leaking sensitive data</t>
        </is>
      </c>
      <c r="D100" s="14" t="inlineStr">
        <is>
          <t>P</t>
        </is>
      </c>
      <c r="E100" s="14" t="inlineStr">
        <is>
          <t>INT-22</t>
        </is>
      </c>
      <c r="F100" s="14" t="inlineStr">
        <is>
          <t>R1</t>
        </is>
      </c>
      <c r="G100" s="14" t="inlineStr">
        <is>
          <t>G2</t>
        </is>
      </c>
      <c r="H100" s="14" t="inlineStr">
        <is>
          <t>G7</t>
        </is>
      </c>
      <c r="I100" s="14" t="inlineStr">
        <is>
          <t>FIRST-BUILD (G1-G3)</t>
        </is>
      </c>
      <c r="J100" s="14" t="inlineStr">
        <is>
          <t>P1</t>
        </is>
      </c>
      <c r="K100" s="14" t="inlineStr">
        <is>
          <t>Partial—gap remains</t>
        </is>
      </c>
      <c r="L100" s="14" t="n"/>
      <c r="M100" s="14" t="inlineStr">
        <is>
          <t>D-B</t>
        </is>
      </c>
      <c r="N100" s="14" t="inlineStr">
        <is>
          <t>TM-TST-097</t>
        </is>
      </c>
      <c r="O100" s="14" t="inlineStr">
        <is>
          <t>Not verified — no build</t>
        </is>
      </c>
    </row>
    <row r="101" ht="15" customHeight="1" s="10">
      <c r="A101" s="14" t="inlineStr">
        <is>
          <t>TM-REQ-098</t>
        </is>
      </c>
      <c r="B101" s="14" t="inlineStr">
        <is>
          <t>Security, privacy &amp; compliance</t>
        </is>
      </c>
      <c r="C101" s="14" t="inlineStr">
        <is>
          <t>Incident response and breach handling</t>
        </is>
      </c>
      <c r="D101" s="14" t="inlineStr">
        <is>
          <t>P</t>
        </is>
      </c>
      <c r="E101" s="14" t="inlineStr">
        <is>
          <t>INT-22</t>
        </is>
      </c>
      <c r="F101" s="14" t="inlineStr">
        <is>
          <t>R0</t>
        </is>
      </c>
      <c r="G101" s="14" t="inlineStr">
        <is>
          <t>G7</t>
        </is>
      </c>
      <c r="H101" s="14" t="inlineStr">
        <is>
          <t>G7</t>
        </is>
      </c>
      <c r="I101" s="14" t="inlineStr">
        <is>
          <t>FULL-SCOPE, LATER (G7)</t>
        </is>
      </c>
      <c r="J101" s="14" t="inlineStr">
        <is>
          <t>P0</t>
        </is>
      </c>
      <c r="K101" s="14" t="inlineStr">
        <is>
          <t>Partial—gap remains</t>
        </is>
      </c>
      <c r="L101" s="14" t="n"/>
      <c r="M101" s="14" t="inlineStr">
        <is>
          <t>D-B</t>
        </is>
      </c>
      <c r="N101" s="14" t="inlineStr">
        <is>
          <t>TM-TST-098</t>
        </is>
      </c>
      <c r="O101" s="14" t="inlineStr">
        <is>
          <t>Not verified — no build</t>
        </is>
      </c>
    </row>
    <row r="102" ht="15" customHeight="1" s="10">
      <c r="A102" s="14" t="inlineStr">
        <is>
          <t>TM-REQ-099</t>
        </is>
      </c>
      <c r="B102" s="14" t="inlineStr">
        <is>
          <t>Security, privacy &amp; compliance</t>
        </is>
      </c>
      <c r="C102" s="14" t="inlineStr">
        <is>
          <t>Terms, privacy notice, retention and third-party processors</t>
        </is>
      </c>
      <c r="D102" s="14" t="inlineStr">
        <is>
          <t>P</t>
        </is>
      </c>
      <c r="E102" s="14" t="inlineStr">
        <is>
          <t>INT-22</t>
        </is>
      </c>
      <c r="F102" s="14" t="inlineStr">
        <is>
          <t>R1</t>
        </is>
      </c>
      <c r="G102" s="14" t="inlineStr">
        <is>
          <t>G7</t>
        </is>
      </c>
      <c r="H102" s="14" t="inlineStr">
        <is>
          <t>G7</t>
        </is>
      </c>
      <c r="I102" s="14" t="inlineStr">
        <is>
          <t>FULL-SCOPE, LATER (G7)</t>
        </is>
      </c>
      <c r="J102" s="14" t="inlineStr">
        <is>
          <t>P1</t>
        </is>
      </c>
      <c r="K102" s="14" t="inlineStr">
        <is>
          <t>External verification required</t>
        </is>
      </c>
      <c r="L102" s="14" t="n"/>
      <c r="M102" s="14" t="inlineStr">
        <is>
          <t>D-B</t>
        </is>
      </c>
      <c r="N102" s="14" t="inlineStr">
        <is>
          <t>TM-TST-099</t>
        </is>
      </c>
      <c r="O102" s="14" t="inlineStr">
        <is>
          <t>Not verified — no build</t>
        </is>
      </c>
    </row>
    <row r="103" ht="21.75" customHeight="1" s="10">
      <c r="A103" s="14" t="inlineStr">
        <is>
          <t>TM-REQ-100</t>
        </is>
      </c>
      <c r="B103" s="14" t="inlineStr">
        <is>
          <t>Deen, Ibadah &amp; Akhirah</t>
        </is>
      </c>
      <c r="C103" s="14" t="inlineStr">
        <is>
          <t>Keep Deen/Akhirah as first-class life domain, not a score</t>
        </is>
      </c>
      <c r="D103" s="14" t="inlineStr">
        <is>
          <t>U</t>
        </is>
      </c>
      <c r="E103" s="14" t="inlineStr">
        <is>
          <t>INT-06,INT-07,INT-13</t>
        </is>
      </c>
      <c r="F103" s="14" t="inlineStr">
        <is>
          <t>R0</t>
        </is>
      </c>
      <c r="G103" s="14" t="inlineStr">
        <is>
          <t>G1</t>
        </is>
      </c>
      <c r="H103" s="14" t="inlineStr">
        <is>
          <t>G1</t>
        </is>
      </c>
      <c r="I103" s="14" t="inlineStr">
        <is>
          <t>FIRST-BUILD (G1-G3)</t>
        </is>
      </c>
      <c r="J103" s="14" t="inlineStr">
        <is>
          <t>P0</t>
        </is>
      </c>
      <c r="K103" s="14" t="inlineStr">
        <is>
          <t>Documented—implementation unverified</t>
        </is>
      </c>
      <c r="L103" s="14" t="inlineStr">
        <is>
          <t>see 114 (cross-link)</t>
        </is>
      </c>
      <c r="M103" s="14" t="n"/>
      <c r="N103" s="14" t="inlineStr">
        <is>
          <t>TM-TST-100</t>
        </is>
      </c>
      <c r="O103" s="14" t="inlineStr">
        <is>
          <t>Verified for G1 scope (automated evidence) — see Tests v2</t>
        </is>
      </c>
    </row>
    <row r="104" ht="21.75" customHeight="1" s="10">
      <c r="A104" s="14" t="inlineStr">
        <is>
          <t>TM-REQ-101</t>
        </is>
      </c>
      <c r="B104" s="14" t="inlineStr">
        <is>
          <t>Deen, Ibadah &amp; Akhirah</t>
        </is>
      </c>
      <c r="C104" s="14" t="inlineStr">
        <is>
          <t>Salah log, methods, time source, timezone and travel state</t>
        </is>
      </c>
      <c r="D104" s="14" t="inlineStr">
        <is>
          <t>U</t>
        </is>
      </c>
      <c r="E104" s="14" t="inlineStr">
        <is>
          <t>INT-06,INT-07,INT-13</t>
        </is>
      </c>
      <c r="F104" s="14" t="inlineStr">
        <is>
          <t>R1</t>
        </is>
      </c>
      <c r="G104" s="14" t="inlineStr">
        <is>
          <t>G3</t>
        </is>
      </c>
      <c r="H104" s="14" t="inlineStr">
        <is>
          <t>G5</t>
        </is>
      </c>
      <c r="I104" s="14" t="inlineStr">
        <is>
          <t>FIRST-BUILD (G1-G3)</t>
        </is>
      </c>
      <c r="J104" s="14" t="inlineStr">
        <is>
          <t>P0</t>
        </is>
      </c>
      <c r="K104" s="14" t="inlineStr">
        <is>
          <t>Partial—gap remains</t>
        </is>
      </c>
      <c r="L104" s="14" t="inlineStr">
        <is>
          <t>see 091,112</t>
        </is>
      </c>
      <c r="M104" s="14" t="n"/>
      <c r="N104" s="14" t="inlineStr">
        <is>
          <t>TM-TST-101</t>
        </is>
      </c>
      <c r="O104" s="14" t="inlineStr">
        <is>
          <t>Not verified — no build</t>
        </is>
      </c>
    </row>
    <row r="105" ht="21.75" customHeight="1" s="10">
      <c r="A105" s="14" t="inlineStr">
        <is>
          <t>TM-REQ-102</t>
        </is>
      </c>
      <c r="B105" s="14" t="inlineStr">
        <is>
          <t>Deen, Ibadah &amp; Akhirah</t>
        </is>
      </c>
      <c r="C105" s="14" t="inlineStr">
        <is>
          <t>Qibla/time calculation must have method/source disclosure</t>
        </is>
      </c>
      <c r="D105" s="14" t="inlineStr">
        <is>
          <t>P</t>
        </is>
      </c>
      <c r="E105" s="14" t="inlineStr">
        <is>
          <t>INT-06,INT-07,INT-13</t>
        </is>
      </c>
      <c r="F105" s="14" t="inlineStr">
        <is>
          <t>R1</t>
        </is>
      </c>
      <c r="G105" s="14" t="inlineStr">
        <is>
          <t>G5</t>
        </is>
      </c>
      <c r="H105" s="14" t="inlineStr">
        <is>
          <t>G5</t>
        </is>
      </c>
      <c r="I105" s="14" t="inlineStr">
        <is>
          <t>FULL-SCOPE, LATER (G5)</t>
        </is>
      </c>
      <c r="J105" s="14" t="inlineStr">
        <is>
          <t>P1</t>
        </is>
      </c>
      <c r="K105" s="14" t="inlineStr">
        <is>
          <t>Not evidenced—specification needed</t>
        </is>
      </c>
      <c r="L105" s="14" t="n"/>
      <c r="M105" s="14" t="inlineStr">
        <is>
          <t>D-D</t>
        </is>
      </c>
      <c r="N105" s="14" t="inlineStr">
        <is>
          <t>TM-TST-102</t>
        </is>
      </c>
      <c r="O105" s="14" t="inlineStr">
        <is>
          <t>Not verified — no build</t>
        </is>
      </c>
    </row>
    <row r="106" ht="21.75" customHeight="1" s="10">
      <c r="A106" s="14" t="inlineStr">
        <is>
          <t>TM-REQ-103</t>
        </is>
      </c>
      <c r="B106" s="14" t="inlineStr">
        <is>
          <t>Deen, Ibadah &amp; Akhirah</t>
        </is>
      </c>
      <c r="C106" s="14" t="inlineStr">
        <is>
          <t>Quran content completeness, translation, version and license</t>
        </is>
      </c>
      <c r="D106" s="14" t="inlineStr">
        <is>
          <t>U</t>
        </is>
      </c>
      <c r="E106" s="14" t="inlineStr">
        <is>
          <t>INT-06,INT-07,INT-13</t>
        </is>
      </c>
      <c r="F106" s="14" t="inlineStr">
        <is>
          <t>R0</t>
        </is>
      </c>
      <c r="G106" s="14" t="inlineStr">
        <is>
          <t>G5</t>
        </is>
      </c>
      <c r="H106" s="14" t="inlineStr">
        <is>
          <t>G5</t>
        </is>
      </c>
      <c r="I106" s="14" t="inlineStr">
        <is>
          <t>FULL-SCOPE, LATER (G5)</t>
        </is>
      </c>
      <c r="J106" s="14" t="inlineStr">
        <is>
          <t>P0</t>
        </is>
      </c>
      <c r="K106" s="14" t="inlineStr">
        <is>
          <t>External verification required</t>
        </is>
      </c>
      <c r="L106" s="14" t="n"/>
      <c r="M106" s="14" t="inlineStr">
        <is>
          <t>D-D</t>
        </is>
      </c>
      <c r="N106" s="14" t="inlineStr">
        <is>
          <t>TM-TST-103</t>
        </is>
      </c>
      <c r="O106" s="14" t="inlineStr">
        <is>
          <t>Not verified — no build</t>
        </is>
      </c>
    </row>
    <row r="107" ht="21.75" customHeight="1" s="10">
      <c r="A107" s="14" t="inlineStr">
        <is>
          <t>TM-REQ-104</t>
        </is>
      </c>
      <c r="B107" s="14" t="inlineStr">
        <is>
          <t>Deen, Ibadah &amp; Akhirah</t>
        </is>
      </c>
      <c r="C107" s="14" t="inlineStr">
        <is>
          <t>Hadith, tafsir and fiqh references need reliability/context</t>
        </is>
      </c>
      <c r="D107" s="14" t="inlineStr">
        <is>
          <t>U</t>
        </is>
      </c>
      <c r="E107" s="14" t="inlineStr">
        <is>
          <t>INT-06,INT-07,INT-13</t>
        </is>
      </c>
      <c r="F107" s="14" t="inlineStr">
        <is>
          <t>R0</t>
        </is>
      </c>
      <c r="G107" s="14" t="inlineStr">
        <is>
          <t>G5</t>
        </is>
      </c>
      <c r="H107" s="14" t="inlineStr">
        <is>
          <t>G5</t>
        </is>
      </c>
      <c r="I107" s="14" t="inlineStr">
        <is>
          <t>FULL-SCOPE, LATER (G5)</t>
        </is>
      </c>
      <c r="J107" s="14" t="inlineStr">
        <is>
          <t>P0</t>
        </is>
      </c>
      <c r="K107" s="14" t="inlineStr">
        <is>
          <t>Partial—gap remains</t>
        </is>
      </c>
      <c r="L107" s="14" t="n"/>
      <c r="M107" s="14" t="inlineStr">
        <is>
          <t>D-D</t>
        </is>
      </c>
      <c r="N107" s="14" t="inlineStr">
        <is>
          <t>TM-TST-104</t>
        </is>
      </c>
      <c r="O107" s="14" t="inlineStr">
        <is>
          <t>Not verified — no build</t>
        </is>
      </c>
    </row>
    <row r="108" ht="21.75" customHeight="1" s="10">
      <c r="A108" s="14" t="inlineStr">
        <is>
          <t>TM-REQ-105</t>
        </is>
      </c>
      <c r="B108" s="14" t="inlineStr">
        <is>
          <t>Deen, Ibadah &amp; Akhirah</t>
        </is>
      </c>
      <c r="C108" s="14" t="inlineStr">
        <is>
          <t>Fasting, Ramadan, qada, fidya and kaffara handling</t>
        </is>
      </c>
      <c r="D108" s="14" t="inlineStr">
        <is>
          <t>U</t>
        </is>
      </c>
      <c r="E108" s="14" t="inlineStr">
        <is>
          <t>INT-06,INT-07,INT-13</t>
        </is>
      </c>
      <c r="F108" s="14" t="inlineStr">
        <is>
          <t>R1</t>
        </is>
      </c>
      <c r="G108" s="14" t="inlineStr">
        <is>
          <t>G3</t>
        </is>
      </c>
      <c r="H108" s="14" t="inlineStr">
        <is>
          <t>G5</t>
        </is>
      </c>
      <c r="I108" s="14" t="inlineStr">
        <is>
          <t>FIRST-BUILD (G1-G3)</t>
        </is>
      </c>
      <c r="J108" s="14" t="inlineStr">
        <is>
          <t>P1</t>
        </is>
      </c>
      <c r="K108" s="14" t="inlineStr">
        <is>
          <t>Partial—gap remains</t>
        </is>
      </c>
      <c r="L108" s="14" t="n"/>
      <c r="M108" s="14" t="n"/>
      <c r="N108" s="14" t="inlineStr">
        <is>
          <t>TM-TST-105</t>
        </is>
      </c>
      <c r="O108" s="14" t="inlineStr">
        <is>
          <t>Not verified — no build</t>
        </is>
      </c>
    </row>
    <row r="109" ht="21.75" customHeight="1" s="10">
      <c r="A109" s="14" t="inlineStr">
        <is>
          <t>TM-REQ-106</t>
        </is>
      </c>
      <c r="B109" s="14" t="inlineStr">
        <is>
          <t>Deen, Ibadah &amp; Akhirah</t>
        </is>
      </c>
      <c r="C109" s="14" t="inlineStr">
        <is>
          <t>Zakat calculator shows method, as-of assets and line items</t>
        </is>
      </c>
      <c r="D109" s="14" t="inlineStr">
        <is>
          <t>U</t>
        </is>
      </c>
      <c r="E109" s="14" t="inlineStr">
        <is>
          <t>INT-06,INT-07,INT-13</t>
        </is>
      </c>
      <c r="F109" s="14" t="inlineStr">
        <is>
          <t>R0</t>
        </is>
      </c>
      <c r="G109" s="14" t="inlineStr">
        <is>
          <t>G3</t>
        </is>
      </c>
      <c r="H109" s="14" t="inlineStr">
        <is>
          <t>G5</t>
        </is>
      </c>
      <c r="I109" s="14" t="inlineStr">
        <is>
          <t>FIRST-BUILD (G1-G3)</t>
        </is>
      </c>
      <c r="J109" s="14" t="inlineStr">
        <is>
          <t>P0</t>
        </is>
      </c>
      <c r="K109" s="14" t="inlineStr">
        <is>
          <t>Partial—gap remains</t>
        </is>
      </c>
      <c r="L109" s="14" t="n"/>
      <c r="M109" s="14" t="n"/>
      <c r="N109" s="14" t="inlineStr">
        <is>
          <t>TM-TST-106</t>
        </is>
      </c>
      <c r="O109" s="14" t="inlineStr">
        <is>
          <t>Not verified — no build</t>
        </is>
      </c>
    </row>
    <row r="110" ht="21.75" customHeight="1" s="10">
      <c r="A110" s="14" t="inlineStr">
        <is>
          <t>TM-REQ-107</t>
        </is>
      </c>
      <c r="B110" s="14" t="inlineStr">
        <is>
          <t>Deen, Ibadah &amp; Akhirah</t>
        </is>
      </c>
      <c r="C110" s="14" t="inlineStr">
        <is>
          <t>Zakat al-Fitr is separate from annual wealth Zakat</t>
        </is>
      </c>
      <c r="D110" s="14" t="inlineStr">
        <is>
          <t>U</t>
        </is>
      </c>
      <c r="E110" s="14" t="inlineStr">
        <is>
          <t>INT-06,INT-07,INT-13</t>
        </is>
      </c>
      <c r="F110" s="14" t="inlineStr">
        <is>
          <t>R1</t>
        </is>
      </c>
      <c r="G110" s="14" t="inlineStr">
        <is>
          <t>G3</t>
        </is>
      </c>
      <c r="H110" s="14" t="inlineStr">
        <is>
          <t>G5</t>
        </is>
      </c>
      <c r="I110" s="14" t="inlineStr">
        <is>
          <t>FIRST-BUILD (G1-G3)</t>
        </is>
      </c>
      <c r="J110" s="14" t="inlineStr">
        <is>
          <t>P1</t>
        </is>
      </c>
      <c r="K110" s="14" t="inlineStr">
        <is>
          <t>Documented—implementation unverified</t>
        </is>
      </c>
      <c r="L110" s="14" t="n"/>
      <c r="M110" s="14" t="n"/>
      <c r="N110" s="14" t="inlineStr">
        <is>
          <t>TM-TST-107</t>
        </is>
      </c>
      <c r="O110" s="14" t="inlineStr">
        <is>
          <t>Not verified — no build</t>
        </is>
      </c>
    </row>
    <row r="111" ht="21.75" customHeight="1" s="10">
      <c r="A111" s="14" t="inlineStr">
        <is>
          <t>TM-REQ-108</t>
        </is>
      </c>
      <c r="B111" s="14" t="inlineStr">
        <is>
          <t>Deen, Ibadah &amp; Akhirah</t>
        </is>
      </c>
      <c r="C111" s="14" t="inlineStr">
        <is>
          <t>Hajj/Umrah needs current official info and verified providers</t>
        </is>
      </c>
      <c r="D111" s="14" t="inlineStr">
        <is>
          <t>U</t>
        </is>
      </c>
      <c r="E111" s="14" t="inlineStr">
        <is>
          <t>INT-06,INT-07,INT-13</t>
        </is>
      </c>
      <c r="F111" s="14" t="inlineStr">
        <is>
          <t>R0</t>
        </is>
      </c>
      <c r="G111" s="14" t="inlineStr">
        <is>
          <t>G5</t>
        </is>
      </c>
      <c r="H111" s="14" t="inlineStr">
        <is>
          <t>G5</t>
        </is>
      </c>
      <c r="I111" s="14" t="inlineStr">
        <is>
          <t>FULL-SCOPE, LATER (G5)</t>
        </is>
      </c>
      <c r="J111" s="14" t="inlineStr">
        <is>
          <t>P0</t>
        </is>
      </c>
      <c r="K111" s="14" t="inlineStr">
        <is>
          <t>External verification required</t>
        </is>
      </c>
      <c r="L111" s="14" t="n"/>
      <c r="M111" s="14" t="n"/>
      <c r="N111" s="14" t="inlineStr">
        <is>
          <t>TM-TST-108</t>
        </is>
      </c>
      <c r="O111" s="14" t="inlineStr">
        <is>
          <t>Not verified — no build</t>
        </is>
      </c>
    </row>
    <row r="112" ht="21.75" customHeight="1" s="10">
      <c r="A112" s="14" t="inlineStr">
        <is>
          <t>TM-REQ-109</t>
        </is>
      </c>
      <c r="B112" s="14" t="inlineStr">
        <is>
          <t>Deen, Ibadah &amp; Akhirah</t>
        </is>
      </c>
      <c r="C112" s="14" t="inlineStr">
        <is>
          <t>Sadaqah, ongoing charity, waqf and Qurbani are distinct options</t>
        </is>
      </c>
      <c r="D112" s="14" t="inlineStr">
        <is>
          <t>U</t>
        </is>
      </c>
      <c r="E112" s="14" t="inlineStr">
        <is>
          <t>INT-06,INT-07,INT-13</t>
        </is>
      </c>
      <c r="F112" s="14" t="inlineStr">
        <is>
          <t>R1</t>
        </is>
      </c>
      <c r="G112" s="14" t="inlineStr">
        <is>
          <t>G3</t>
        </is>
      </c>
      <c r="H112" s="14" t="inlineStr">
        <is>
          <t>G5</t>
        </is>
      </c>
      <c r="I112" s="14" t="inlineStr">
        <is>
          <t>FIRST-BUILD (G1-G3)</t>
        </is>
      </c>
      <c r="J112" s="14" t="inlineStr">
        <is>
          <t>P1</t>
        </is>
      </c>
      <c r="K112" s="14" t="inlineStr">
        <is>
          <t>Partial—gap remains</t>
        </is>
      </c>
      <c r="L112" s="14" t="n"/>
      <c r="M112" s="14" t="n"/>
      <c r="N112" s="14" t="inlineStr">
        <is>
          <t>TM-TST-109</t>
        </is>
      </c>
      <c r="O112" s="14" t="inlineStr">
        <is>
          <t>Not verified — no build</t>
        </is>
      </c>
    </row>
    <row r="113" ht="21.75" customHeight="1" s="10">
      <c r="A113" s="14" t="inlineStr">
        <is>
          <t>TM-REQ-110</t>
        </is>
      </c>
      <c r="B113" s="14" t="inlineStr">
        <is>
          <t>Deen, Ibadah &amp; Akhirah</t>
        </is>
      </c>
      <c r="C113" s="14" t="inlineStr">
        <is>
          <t>Halal livelihood and business ethics checklist</t>
        </is>
      </c>
      <c r="D113" s="14" t="inlineStr">
        <is>
          <t>U</t>
        </is>
      </c>
      <c r="E113" s="14" t="inlineStr">
        <is>
          <t>INT-06,INT-07,INT-13</t>
        </is>
      </c>
      <c r="F113" s="14" t="inlineStr">
        <is>
          <t>R0</t>
        </is>
      </c>
      <c r="G113" s="14" t="inlineStr">
        <is>
          <t>G5</t>
        </is>
      </c>
      <c r="H113" s="14" t="inlineStr">
        <is>
          <t>G5</t>
        </is>
      </c>
      <c r="I113" s="14" t="inlineStr">
        <is>
          <t>FULL-SCOPE, LATER (G5)</t>
        </is>
      </c>
      <c r="J113" s="14" t="inlineStr">
        <is>
          <t>P0</t>
        </is>
      </c>
      <c r="K113" s="14" t="inlineStr">
        <is>
          <t>Partial—gap remains</t>
        </is>
      </c>
      <c r="L113" s="14" t="n"/>
      <c r="M113" s="14" t="n"/>
      <c r="N113" s="14" t="inlineStr">
        <is>
          <t>TM-TST-110</t>
        </is>
      </c>
      <c r="O113" s="14" t="inlineStr">
        <is>
          <t>Not verified — no build</t>
        </is>
      </c>
    </row>
    <row r="114" ht="21.75" customHeight="1" s="10">
      <c r="A114" s="14" t="inlineStr">
        <is>
          <t>TM-REQ-111</t>
        </is>
      </c>
      <c r="B114" s="14" t="inlineStr">
        <is>
          <t>Deen, Ibadah &amp; Akhirah</t>
        </is>
      </c>
      <c r="C114" s="14" t="inlineStr">
        <is>
          <t>Rights/duties: family, debts, promises, staff and customers</t>
        </is>
      </c>
      <c r="D114" s="14" t="inlineStr">
        <is>
          <t>U</t>
        </is>
      </c>
      <c r="E114" s="14" t="inlineStr">
        <is>
          <t>INT-06,INT-07,INT-13</t>
        </is>
      </c>
      <c r="F114" s="14" t="inlineStr">
        <is>
          <t>R1</t>
        </is>
      </c>
      <c r="G114" s="14" t="inlineStr">
        <is>
          <t>G3</t>
        </is>
      </c>
      <c r="H114" s="14" t="inlineStr">
        <is>
          <t>G5</t>
        </is>
      </c>
      <c r="I114" s="14" t="inlineStr">
        <is>
          <t>FIRST-BUILD (G1-G3)</t>
        </is>
      </c>
      <c r="J114" s="14" t="inlineStr">
        <is>
          <t>P1</t>
        </is>
      </c>
      <c r="K114" s="14" t="inlineStr">
        <is>
          <t>Documented—implementation unverified</t>
        </is>
      </c>
      <c r="L114" s="14" t="n"/>
      <c r="M114" s="14" t="n"/>
      <c r="N114" s="14" t="inlineStr">
        <is>
          <t>TM-TST-111</t>
        </is>
      </c>
      <c r="O114" s="14" t="inlineStr">
        <is>
          <t>Not verified — no build</t>
        </is>
      </c>
    </row>
    <row r="115" ht="21.75" customHeight="1" s="10">
      <c r="A115" s="14" t="inlineStr">
        <is>
          <t>TM-REQ-112</t>
        </is>
      </c>
      <c r="B115" s="14" t="inlineStr">
        <is>
          <t>Deen, Ibadah &amp; Akhirah</t>
        </is>
      </c>
      <c r="C115" s="14" t="inlineStr">
        <is>
          <t>Hijri calendar, Ramadan/Eid and moon-sighting status</t>
        </is>
      </c>
      <c r="D115" s="14" t="inlineStr">
        <is>
          <t>U</t>
        </is>
      </c>
      <c r="E115" s="14" t="inlineStr">
        <is>
          <t>INT-06,INT-07,INT-13</t>
        </is>
      </c>
      <c r="F115" s="14" t="inlineStr">
        <is>
          <t>R1</t>
        </is>
      </c>
      <c r="G115" s="14" t="inlineStr">
        <is>
          <t>G3</t>
        </is>
      </c>
      <c r="H115" s="14" t="inlineStr">
        <is>
          <t>G5</t>
        </is>
      </c>
      <c r="I115" s="14" t="inlineStr">
        <is>
          <t>FIRST-BUILD (G1-G3)</t>
        </is>
      </c>
      <c r="J115" s="14" t="inlineStr">
        <is>
          <t>P1</t>
        </is>
      </c>
      <c r="K115" s="14" t="inlineStr">
        <is>
          <t>Partial—gap remains</t>
        </is>
      </c>
      <c r="L115" s="14" t="inlineStr">
        <is>
          <t>see 091,101</t>
        </is>
      </c>
      <c r="M115" s="14" t="n"/>
      <c r="N115" s="14" t="inlineStr">
        <is>
          <t>TM-TST-112</t>
        </is>
      </c>
      <c r="O115" s="14" t="inlineStr">
        <is>
          <t>Not verified — no build</t>
        </is>
      </c>
    </row>
    <row r="116" ht="21.75" customHeight="1" s="10">
      <c r="A116" s="14" t="inlineStr">
        <is>
          <t>TM-REQ-113</t>
        </is>
      </c>
      <c r="B116" s="14" t="inlineStr">
        <is>
          <t>Deen, Ibadah &amp; Akhirah</t>
        </is>
      </c>
      <c r="C116" s="14" t="inlineStr">
        <is>
          <t>Will/inheritance/end-of-life planning is optional and reviewed</t>
        </is>
      </c>
      <c r="D116" s="14" t="inlineStr">
        <is>
          <t>P</t>
        </is>
      </c>
      <c r="E116" s="14" t="inlineStr">
        <is>
          <t>INT-06,INT-07,INT-13</t>
        </is>
      </c>
      <c r="F116" s="14" t="inlineStr">
        <is>
          <t>R1</t>
        </is>
      </c>
      <c r="G116" s="14" t="inlineStr">
        <is>
          <t>G5</t>
        </is>
      </c>
      <c r="H116" s="14" t="inlineStr">
        <is>
          <t>G7</t>
        </is>
      </c>
      <c r="I116" s="14" t="inlineStr">
        <is>
          <t>FULL-SCOPE, LATER (G5)</t>
        </is>
      </c>
      <c r="J116" s="14" t="inlineStr">
        <is>
          <t>P1</t>
        </is>
      </c>
      <c r="K116" s="14" t="inlineStr">
        <is>
          <t>External verification required</t>
        </is>
      </c>
      <c r="L116" s="14" t="n"/>
      <c r="M116" s="14" t="n"/>
      <c r="N116" s="14" t="inlineStr">
        <is>
          <t>TM-TST-113</t>
        </is>
      </c>
      <c r="O116" s="14" t="inlineStr">
        <is>
          <t>Not verified — no build</t>
        </is>
      </c>
    </row>
    <row r="117" ht="21.75" customHeight="1" s="10">
      <c r="A117" s="14" t="inlineStr">
        <is>
          <t>TM-REQ-114</t>
        </is>
      </c>
      <c r="B117" s="14" t="inlineStr">
        <is>
          <t>Deen, Ibadah &amp; Akhirah</t>
        </is>
      </c>
      <c r="C117" s="14" t="inlineStr">
        <is>
          <t>Personal worship records are sensitive and non-punitive</t>
        </is>
      </c>
      <c r="D117" s="14" t="inlineStr">
        <is>
          <t>U</t>
        </is>
      </c>
      <c r="E117" s="14" t="inlineStr">
        <is>
          <t>INT-06,INT-07,INT-13</t>
        </is>
      </c>
      <c r="F117" s="14" t="inlineStr">
        <is>
          <t>R0</t>
        </is>
      </c>
      <c r="G117" s="14" t="inlineStr">
        <is>
          <t>G1</t>
        </is>
      </c>
      <c r="H117" s="14" t="inlineStr">
        <is>
          <t>G1</t>
        </is>
      </c>
      <c r="I117" s="14" t="inlineStr">
        <is>
          <t>FIRST-BUILD (G1-G3)</t>
        </is>
      </c>
      <c r="J117" s="14" t="inlineStr">
        <is>
          <t>P0</t>
        </is>
      </c>
      <c r="K117" s="14" t="inlineStr">
        <is>
          <t>Partial—gap remains</t>
        </is>
      </c>
      <c r="L117" s="14" t="inlineStr">
        <is>
          <t>see 100 (cross-link)</t>
        </is>
      </c>
      <c r="M117" s="14" t="n"/>
      <c r="N117" s="14" t="inlineStr">
        <is>
          <t>TM-TST-114</t>
        </is>
      </c>
      <c r="O117" s="14" t="inlineStr">
        <is>
          <t>Verified for G1 scope (automated evidence) — see Tests v2</t>
        </is>
      </c>
    </row>
    <row r="118" ht="15" customHeight="1" s="10">
      <c r="A118" s="14" t="inlineStr">
        <is>
          <t>TM-REQ-115</t>
        </is>
      </c>
      <c r="B118" s="14" t="inlineStr">
        <is>
          <t>Well-being &amp; resilience</t>
        </is>
      </c>
      <c r="C118" s="14" t="inlineStr">
        <is>
          <t>Rest, sleep, family and recovery are capacity constraints</t>
        </is>
      </c>
      <c r="D118" s="14" t="inlineStr">
        <is>
          <t>B</t>
        </is>
      </c>
      <c r="E118" s="14" t="inlineStr">
        <is>
          <t>INT-14</t>
        </is>
      </c>
      <c r="F118" s="14" t="inlineStr">
        <is>
          <t>R0</t>
        </is>
      </c>
      <c r="G118" s="14" t="inlineStr">
        <is>
          <t>G3</t>
        </is>
      </c>
      <c r="H118" s="14" t="inlineStr">
        <is>
          <t>G3</t>
        </is>
      </c>
      <c r="I118" s="14" t="inlineStr">
        <is>
          <t>FIRST-BUILD (G1-G3)</t>
        </is>
      </c>
      <c r="J118" s="14" t="inlineStr">
        <is>
          <t>P0</t>
        </is>
      </c>
      <c r="K118" s="14" t="inlineStr">
        <is>
          <t>Partial—gap remains</t>
        </is>
      </c>
      <c r="L118" s="14" t="n"/>
      <c r="M118" s="14" t="n"/>
      <c r="N118" s="14" t="inlineStr">
        <is>
          <t>TM-TST-115</t>
        </is>
      </c>
      <c r="O118" s="14" t="inlineStr">
        <is>
          <t>Not verified — no build</t>
        </is>
      </c>
    </row>
    <row r="119" ht="15" customHeight="1" s="10">
      <c r="A119" s="14" t="inlineStr">
        <is>
          <t>TM-REQ-116</t>
        </is>
      </c>
      <c r="B119" s="14" t="inlineStr">
        <is>
          <t>Well-being &amp; resilience</t>
        </is>
      </c>
      <c r="C119" s="14" t="inlineStr">
        <is>
          <t>Crisis/major life change mode reduces pressure</t>
        </is>
      </c>
      <c r="D119" s="14" t="inlineStr">
        <is>
          <t>B</t>
        </is>
      </c>
      <c r="E119" s="14" t="inlineStr">
        <is>
          <t>INT-14</t>
        </is>
      </c>
      <c r="F119" s="14" t="inlineStr">
        <is>
          <t>R0</t>
        </is>
      </c>
      <c r="G119" s="14" t="inlineStr">
        <is>
          <t>G3</t>
        </is>
      </c>
      <c r="H119" s="14" t="inlineStr">
        <is>
          <t>G3</t>
        </is>
      </c>
      <c r="I119" s="14" t="inlineStr">
        <is>
          <t>FIRST-BUILD (G1-G3)</t>
        </is>
      </c>
      <c r="J119" s="14" t="inlineStr">
        <is>
          <t>P0</t>
        </is>
      </c>
      <c r="K119" s="14" t="inlineStr">
        <is>
          <t>Partial—gap remains</t>
        </is>
      </c>
      <c r="L119" s="14" t="n"/>
      <c r="M119" s="14" t="n"/>
      <c r="N119" s="14" t="inlineStr">
        <is>
          <t>TM-TST-116</t>
        </is>
      </c>
      <c r="O119" s="14" t="inlineStr">
        <is>
          <t>Not verified — no build</t>
        </is>
      </c>
    </row>
    <row r="120" ht="15" customHeight="1" s="10">
      <c r="A120" s="14" t="inlineStr">
        <is>
          <t>TM-REQ-117</t>
        </is>
      </c>
      <c r="B120" s="14" t="inlineStr">
        <is>
          <t>Well-being &amp; resilience</t>
        </is>
      </c>
      <c r="C120" s="14" t="inlineStr">
        <is>
          <t>Accessibility and language must be testable</t>
        </is>
      </c>
      <c r="D120" s="14" t="inlineStr">
        <is>
          <t>B</t>
        </is>
      </c>
      <c r="E120" s="14" t="inlineStr">
        <is>
          <t>INT-14</t>
        </is>
      </c>
      <c r="F120" s="14" t="inlineStr">
        <is>
          <t>R1</t>
        </is>
      </c>
      <c r="G120" s="14" t="inlineStr">
        <is>
          <t>G2</t>
        </is>
      </c>
      <c r="H120" s="14" t="inlineStr">
        <is>
          <t>G2</t>
        </is>
      </c>
      <c r="I120" s="14" t="inlineStr">
        <is>
          <t>FIRST-BUILD (G1-G3)</t>
        </is>
      </c>
      <c r="J120" s="14" t="inlineStr">
        <is>
          <t>P1</t>
        </is>
      </c>
      <c r="K120" s="14" t="inlineStr">
        <is>
          <t>Partial—gap remains</t>
        </is>
      </c>
      <c r="L120" s="14" t="n"/>
      <c r="M120" s="14" t="n"/>
      <c r="N120" s="14" t="inlineStr">
        <is>
          <t>TM-TST-117</t>
        </is>
      </c>
      <c r="O120" s="14" t="inlineStr">
        <is>
          <t>Not verified — no build</t>
        </is>
      </c>
    </row>
    <row r="121" ht="15" customHeight="1" s="10">
      <c r="A121" s="14" t="inlineStr">
        <is>
          <t>TM-REQ-118</t>
        </is>
      </c>
      <c r="B121" s="14" t="inlineStr">
        <is>
          <t>Well-being &amp; resilience</t>
        </is>
      </c>
      <c r="C121" s="14" t="inlineStr">
        <is>
          <t>Emergency and digital continuity planning is opt-in</t>
        </is>
      </c>
      <c r="D121" s="14" t="inlineStr">
        <is>
          <t>S</t>
        </is>
      </c>
      <c r="E121" s="14" t="inlineStr">
        <is>
          <t>INT-14</t>
        </is>
      </c>
      <c r="F121" s="14" t="inlineStr">
        <is>
          <t>R2</t>
        </is>
      </c>
      <c r="G121" s="14" t="inlineStr">
        <is>
          <t>G8</t>
        </is>
      </c>
      <c r="H121" s="14" t="inlineStr">
        <is>
          <t>G8</t>
        </is>
      </c>
      <c r="I121" s="14" t="inlineStr">
        <is>
          <t>FULL-SCOPE, LATER (G8)</t>
        </is>
      </c>
      <c r="J121" s="14" t="inlineStr">
        <is>
          <t>P2</t>
        </is>
      </c>
      <c r="K121" s="14" t="inlineStr">
        <is>
          <t>Partial—gap remains</t>
        </is>
      </c>
      <c r="L121" s="14" t="n"/>
      <c r="M121" s="14" t="n"/>
      <c r="N121" s="14" t="inlineStr">
        <is>
          <t>TM-TST-118</t>
        </is>
      </c>
      <c r="O121" s="14" t="inlineStr">
        <is>
          <t>Not verified — no build</t>
        </is>
      </c>
    </row>
    <row r="122" ht="21.75" customHeight="1" s="10">
      <c r="A122" s="14" t="inlineStr">
        <is>
          <t>TM-REQ-119</t>
        </is>
      </c>
      <c r="B122" s="14" t="inlineStr">
        <is>
          <t>Measurement &amp; quality</t>
        </is>
      </c>
      <c r="C122" s="14" t="inlineStr">
        <is>
          <t>KPIs must compare actual data to user-approved targets</t>
        </is>
      </c>
      <c r="D122" s="14" t="inlineStr">
        <is>
          <t>P</t>
        </is>
      </c>
      <c r="E122" s="14" t="inlineStr">
        <is>
          <t>INT-09</t>
        </is>
      </c>
      <c r="F122" s="14" t="inlineStr">
        <is>
          <t>R1</t>
        </is>
      </c>
      <c r="G122" s="14" t="inlineStr">
        <is>
          <t>G3</t>
        </is>
      </c>
      <c r="H122" s="14" t="inlineStr">
        <is>
          <t>G3</t>
        </is>
      </c>
      <c r="I122" s="14" t="inlineStr">
        <is>
          <t>FIRST-BUILD (G1-G3)</t>
        </is>
      </c>
      <c r="J122" s="14" t="inlineStr">
        <is>
          <t>P1</t>
        </is>
      </c>
      <c r="K122" s="14" t="inlineStr">
        <is>
          <t>Documented—implementation unverified</t>
        </is>
      </c>
      <c r="L122" s="14" t="n"/>
      <c r="M122" s="14" t="n"/>
      <c r="N122" s="14" t="inlineStr">
        <is>
          <t>TM-TST-119</t>
        </is>
      </c>
      <c r="O122" s="14" t="inlineStr">
        <is>
          <t>Not verified — no build</t>
        </is>
      </c>
    </row>
    <row r="123" ht="15" customHeight="1" s="10">
      <c r="A123" s="14" t="inlineStr">
        <is>
          <t>TM-REQ-120</t>
        </is>
      </c>
      <c r="B123" s="14" t="inlineStr">
        <is>
          <t>Measurement &amp; quality</t>
        </is>
      </c>
      <c r="C123" s="14" t="inlineStr">
        <is>
          <t>Audit all unverified statistics and productivity claims</t>
        </is>
      </c>
      <c r="D123" s="14" t="inlineStr">
        <is>
          <t>P</t>
        </is>
      </c>
      <c r="E123" s="14" t="inlineStr">
        <is>
          <t>INT-09</t>
        </is>
      </c>
      <c r="F123" s="14" t="inlineStr">
        <is>
          <t>R0</t>
        </is>
      </c>
      <c r="G123" s="14" t="inlineStr">
        <is>
          <t>G0</t>
        </is>
      </c>
      <c r="H123" s="14" t="inlineStr">
        <is>
          <t>G1</t>
        </is>
      </c>
      <c r="I123" s="14" t="inlineStr">
        <is>
          <t>FIRST-BUILD (G1-G3)</t>
        </is>
      </c>
      <c r="J123" s="14" t="inlineStr">
        <is>
          <t>P0</t>
        </is>
      </c>
      <c r="K123" s="14" t="inlineStr">
        <is>
          <t>Source conflict / stale-risk</t>
        </is>
      </c>
      <c r="L123" s="14" t="n"/>
      <c r="M123" s="14" t="n"/>
      <c r="N123" s="14" t="inlineStr">
        <is>
          <t>TM-TST-120</t>
        </is>
      </c>
      <c r="O123" s="14" t="inlineStr">
        <is>
          <t>Not verified — no build</t>
        </is>
      </c>
    </row>
    <row r="124" ht="15" customHeight="1" s="10">
      <c r="A124" s="14" t="inlineStr">
        <is>
          <t>TM-REQ-121</t>
        </is>
      </c>
      <c r="B124" s="14" t="inlineStr">
        <is>
          <t>Measurement &amp; quality</t>
        </is>
      </c>
      <c r="C124" s="14" t="inlineStr">
        <is>
          <t>Requirement IDs link specification to tests and future code</t>
        </is>
      </c>
      <c r="D124" s="14" t="inlineStr">
        <is>
          <t>P</t>
        </is>
      </c>
      <c r="E124" s="14" t="inlineStr">
        <is>
          <t>INT-09</t>
        </is>
      </c>
      <c r="F124" s="14" t="inlineStr">
        <is>
          <t>R1</t>
        </is>
      </c>
      <c r="G124" s="14" t="inlineStr">
        <is>
          <t>G0</t>
        </is>
      </c>
      <c r="H124" s="14" t="inlineStr">
        <is>
          <t>G0</t>
        </is>
      </c>
      <c r="I124" s="14" t="inlineStr">
        <is>
          <t>FIRST-BUILD (G1-G3)</t>
        </is>
      </c>
      <c r="J124" s="14" t="inlineStr">
        <is>
          <t>P0</t>
        </is>
      </c>
      <c r="K124" s="14" t="inlineStr">
        <is>
          <t>Partial—gap remains</t>
        </is>
      </c>
      <c r="L124" s="14" t="n"/>
      <c r="M124" s="14" t="n"/>
      <c r="N124" s="14" t="inlineStr">
        <is>
          <t>TM-TST-121</t>
        </is>
      </c>
      <c r="O124" s="14" t="inlineStr">
        <is>
          <t>Not verified — no build</t>
        </is>
      </c>
    </row>
    <row r="125" ht="21.75" customHeight="1" s="10">
      <c r="A125" s="14" t="inlineStr">
        <is>
          <t>TM-REQ-122</t>
        </is>
      </c>
      <c r="B125" s="14" t="inlineStr">
        <is>
          <t>Measurement &amp; quality</t>
        </is>
      </c>
      <c r="C125" s="14" t="inlineStr">
        <is>
          <t>Model, prompt, rule, schema and data migrations are versioned separately</t>
        </is>
      </c>
      <c r="D125" s="14" t="inlineStr">
        <is>
          <t>P</t>
        </is>
      </c>
      <c r="E125" s="14" t="inlineStr">
        <is>
          <t>INT-09</t>
        </is>
      </c>
      <c r="F125" s="14" t="inlineStr">
        <is>
          <t>R1</t>
        </is>
      </c>
      <c r="G125" s="14" t="inlineStr">
        <is>
          <t>G3</t>
        </is>
      </c>
      <c r="H125" s="14" t="inlineStr">
        <is>
          <t>G6</t>
        </is>
      </c>
      <c r="I125" s="14" t="inlineStr">
        <is>
          <t>FIRST-BUILD (G1-G3)</t>
        </is>
      </c>
      <c r="J125" s="14" t="inlineStr">
        <is>
          <t>P1</t>
        </is>
      </c>
      <c r="K125" s="14" t="inlineStr">
        <is>
          <t>Partial—gap remains</t>
        </is>
      </c>
      <c r="L125" s="14" t="n"/>
      <c r="M125" s="14" t="n"/>
      <c r="N125" s="14" t="inlineStr">
        <is>
          <t>TM-TST-122</t>
        </is>
      </c>
      <c r="O125" s="14" t="inlineStr">
        <is>
          <t>Not verified — no build</t>
        </is>
      </c>
    </row>
    <row r="126" ht="21.75" customHeight="1" s="10">
      <c r="A126" s="14" t="inlineStr">
        <is>
          <t>TM-REQ-123</t>
        </is>
      </c>
      <c r="B126" s="14" t="inlineStr">
        <is>
          <t>Measurement &amp; quality</t>
        </is>
      </c>
      <c r="C126" s="14" t="inlineStr">
        <is>
          <t>Use failure-injection, security and recovery tests before sensitive data</t>
        </is>
      </c>
      <c r="D126" s="14" t="inlineStr">
        <is>
          <t>P</t>
        </is>
      </c>
      <c r="E126" s="14" t="inlineStr">
        <is>
          <t>INT-09</t>
        </is>
      </c>
      <c r="F126" s="14" t="inlineStr">
        <is>
          <t>R0</t>
        </is>
      </c>
      <c r="G126" s="14" t="inlineStr">
        <is>
          <t>G7</t>
        </is>
      </c>
      <c r="H126" s="14" t="inlineStr">
        <is>
          <t>G7</t>
        </is>
      </c>
      <c r="I126" s="14" t="inlineStr">
        <is>
          <t>FULL-SCOPE, LATER (G7)</t>
        </is>
      </c>
      <c r="J126" s="14" t="inlineStr">
        <is>
          <t>P0</t>
        </is>
      </c>
      <c r="K126" s="14" t="inlineStr">
        <is>
          <t>Documented—implementation unverified</t>
        </is>
      </c>
      <c r="L126" s="14" t="n"/>
      <c r="M126" s="14" t="inlineStr">
        <is>
          <t>D-B</t>
        </is>
      </c>
      <c r="N126" s="14" t="inlineStr">
        <is>
          <t>TM-TST-123</t>
        </is>
      </c>
      <c r="O126" s="14" t="inlineStr">
        <is>
          <t>Not verified — no build</t>
        </is>
      </c>
    </row>
    <row r="127" ht="15" customHeight="1" s="10">
      <c r="A127" s="14" t="inlineStr">
        <is>
          <t>TM-REQ-124</t>
        </is>
      </c>
      <c r="B127" s="14" t="inlineStr">
        <is>
          <t>Measurement &amp; quality</t>
        </is>
      </c>
      <c r="C127" s="14" t="inlineStr">
        <is>
          <t>Legal/religious source updates have accountable review dates</t>
        </is>
      </c>
      <c r="D127" s="14" t="inlineStr">
        <is>
          <t>P</t>
        </is>
      </c>
      <c r="E127" s="14" t="inlineStr">
        <is>
          <t>INT-09</t>
        </is>
      </c>
      <c r="F127" s="14" t="inlineStr">
        <is>
          <t>R1</t>
        </is>
      </c>
      <c r="G127" s="14" t="inlineStr">
        <is>
          <t>G5</t>
        </is>
      </c>
      <c r="H127" s="14" t="inlineStr">
        <is>
          <t>G5</t>
        </is>
      </c>
      <c r="I127" s="14" t="inlineStr">
        <is>
          <t>FULL-SCOPE, LATER (G5)</t>
        </is>
      </c>
      <c r="J127" s="14" t="inlineStr">
        <is>
          <t>P0</t>
        </is>
      </c>
      <c r="K127" s="14" t="inlineStr">
        <is>
          <t>Partial—gap remains</t>
        </is>
      </c>
      <c r="L127" s="14" t="n"/>
      <c r="M127" s="14" t="n"/>
      <c r="N127" s="14" t="inlineStr">
        <is>
          <t>TM-TST-124</t>
        </is>
      </c>
      <c r="O127" s="14" t="inlineStr">
        <is>
          <t>Not verified — no build</t>
        </is>
      </c>
    </row>
    <row r="128" ht="15" customHeight="1" s="10">
      <c r="A128" s="14" t="inlineStr">
        <is>
          <t>TM-REQ-125</t>
        </is>
      </c>
      <c r="B128" s="14" t="inlineStr">
        <is>
          <t>Measurement &amp; quality</t>
        </is>
      </c>
      <c r="C128" s="14" t="inlineStr">
        <is>
          <t>Plan-source-option decision register</t>
        </is>
      </c>
      <c r="D128" s="14" t="inlineStr">
        <is>
          <t>U</t>
        </is>
      </c>
      <c r="E128" s="14" t="inlineStr">
        <is>
          <t>INT-09</t>
        </is>
      </c>
      <c r="F128" s="14" t="inlineStr">
        <is>
          <t>R1</t>
        </is>
      </c>
      <c r="G128" s="14" t="inlineStr">
        <is>
          <t>G4</t>
        </is>
      </c>
      <c r="H128" s="14" t="inlineStr">
        <is>
          <t>G4</t>
        </is>
      </c>
      <c r="I128" s="14" t="inlineStr">
        <is>
          <t>FULL-SCOPE, LATER (G4)</t>
        </is>
      </c>
      <c r="J128" s="14" t="inlineStr">
        <is>
          <t>P1</t>
        </is>
      </c>
      <c r="K128" s="14" t="inlineStr">
        <is>
          <t>Partial—gap remains</t>
        </is>
      </c>
      <c r="L128" s="14" t="n"/>
      <c r="M128" s="14" t="n"/>
      <c r="N128" s="14" t="inlineStr">
        <is>
          <t>TM-TST-125</t>
        </is>
      </c>
      <c r="O128" s="14" t="inlineStr">
        <is>
          <t>Not verified — no build</t>
        </is>
      </c>
    </row>
    <row r="129" ht="15" customHeight="1" s="10">
      <c r="A129" s="14" t="inlineStr">
        <is>
          <t>TM-REQ-126</t>
        </is>
      </c>
      <c r="B129" s="14" t="inlineStr">
        <is>
          <t>Integrations &amp; product scope</t>
        </is>
      </c>
      <c r="C129" s="14" t="inlineStr">
        <is>
          <t>External integrations are opt-in, scoped and revocable</t>
        </is>
      </c>
      <c r="D129" s="14" t="inlineStr">
        <is>
          <t>P</t>
        </is>
      </c>
      <c r="E129" s="14" t="inlineStr">
        <is>
          <t>INT-12,INT-19</t>
        </is>
      </c>
      <c r="F129" s="14" t="inlineStr">
        <is>
          <t>R1</t>
        </is>
      </c>
      <c r="G129" s="14" t="inlineStr">
        <is>
          <t>G6</t>
        </is>
      </c>
      <c r="H129" s="14" t="inlineStr">
        <is>
          <t>G6</t>
        </is>
      </c>
      <c r="I129" s="14" t="inlineStr">
        <is>
          <t>FULL-SCOPE, LATER (G6)</t>
        </is>
      </c>
      <c r="J129" s="14" t="inlineStr">
        <is>
          <t>P1</t>
        </is>
      </c>
      <c r="K129" s="14" t="inlineStr">
        <is>
          <t>Partial—gap remains</t>
        </is>
      </c>
      <c r="L129" s="14" t="inlineStr">
        <is>
          <t>absorbs 135; see 042</t>
        </is>
      </c>
      <c r="M129" s="14" t="inlineStr">
        <is>
          <t>D-C</t>
        </is>
      </c>
      <c r="N129" s="14" t="inlineStr">
        <is>
          <t>TM-TST-126</t>
        </is>
      </c>
      <c r="O129" s="14" t="inlineStr">
        <is>
          <t>Not verified — no build</t>
        </is>
      </c>
    </row>
    <row r="130" ht="15" customHeight="1" s="10">
      <c r="A130" s="14" t="inlineStr">
        <is>
          <t>TM-REQ-127</t>
        </is>
      </c>
      <c r="B130" s="14" t="inlineStr">
        <is>
          <t>Integrations &amp; product scope</t>
        </is>
      </c>
      <c r="C130" s="14" t="inlineStr">
        <is>
          <t>Separate Trillionaire Me from existing ERP at first</t>
        </is>
      </c>
      <c r="D130" s="14" t="inlineStr">
        <is>
          <t>B</t>
        </is>
      </c>
      <c r="E130" s="14" t="inlineStr">
        <is>
          <t>INT-12,INT-19</t>
        </is>
      </c>
      <c r="F130" s="14" t="inlineStr">
        <is>
          <t>R1</t>
        </is>
      </c>
      <c r="G130" s="14" t="inlineStr">
        <is>
          <t>G0</t>
        </is>
      </c>
      <c r="H130" s="14" t="inlineStr">
        <is>
          <t>G0</t>
        </is>
      </c>
      <c r="I130" s="14" t="inlineStr">
        <is>
          <t>FIRST-BUILD (G1-G3)</t>
        </is>
      </c>
      <c r="J130" s="14" t="inlineStr">
        <is>
          <t>P1</t>
        </is>
      </c>
      <c r="K130" s="14" t="inlineStr">
        <is>
          <t>Decision required</t>
        </is>
      </c>
      <c r="L130" s="14" t="n"/>
      <c r="M130" s="14" t="n"/>
      <c r="N130" s="14" t="inlineStr">
        <is>
          <t>TM-TST-127</t>
        </is>
      </c>
      <c r="O130" s="14" t="inlineStr">
        <is>
          <t>Not verified — no build</t>
        </is>
      </c>
    </row>
    <row r="131" ht="21.75" customHeight="1" s="10">
      <c r="A131" s="14" t="inlineStr">
        <is>
          <t>TM-REQ-128</t>
        </is>
      </c>
      <c r="B131" s="14" t="inlineStr">
        <is>
          <t>Integrations &amp; product scope</t>
        </is>
      </c>
      <c r="C131" s="14" t="inlineStr">
        <is>
          <t>Free-first and no purchase/deploy without approval</t>
        </is>
      </c>
      <c r="D131" s="14" t="inlineStr">
        <is>
          <t>P</t>
        </is>
      </c>
      <c r="E131" s="14" t="inlineStr">
        <is>
          <t>INT-12,INT-19</t>
        </is>
      </c>
      <c r="F131" s="14" t="inlineStr">
        <is>
          <t>R0</t>
        </is>
      </c>
      <c r="G131" s="14" t="inlineStr">
        <is>
          <t>G0</t>
        </is>
      </c>
      <c r="H131" s="14" t="inlineStr">
        <is>
          <t>G0</t>
        </is>
      </c>
      <c r="I131" s="14" t="inlineStr">
        <is>
          <t>FIRST-BUILD (G1-G3)</t>
        </is>
      </c>
      <c r="J131" s="14" t="inlineStr">
        <is>
          <t>P0</t>
        </is>
      </c>
      <c r="K131" s="14" t="inlineStr">
        <is>
          <t>Documented—implementation unverified</t>
        </is>
      </c>
      <c r="L131" s="14" t="n"/>
      <c r="M131" s="14" t="n"/>
      <c r="N131" s="14" t="inlineStr">
        <is>
          <t>TM-TST-128</t>
        </is>
      </c>
      <c r="O131" s="14" t="inlineStr">
        <is>
          <t>Not verified — no build</t>
        </is>
      </c>
    </row>
    <row r="132" ht="15" customHeight="1" s="10">
      <c r="A132" s="14" t="inlineStr">
        <is>
          <t>TM-REQ-129</t>
        </is>
      </c>
      <c r="B132" s="14" t="inlineStr">
        <is>
          <t>Integrations &amp; product scope</t>
        </is>
      </c>
      <c r="C132" s="14" t="inlineStr">
        <is>
          <t>Future multi-tenant SaaS requires tenant isolation and support model</t>
        </is>
      </c>
      <c r="D132" s="14" t="inlineStr">
        <is>
          <t>S</t>
        </is>
      </c>
      <c r="E132" s="14" t="inlineStr">
        <is>
          <t>INT-12,INT-19</t>
        </is>
      </c>
      <c r="F132" s="14" t="inlineStr">
        <is>
          <t>R2</t>
        </is>
      </c>
      <c r="G132" s="14" t="inlineStr">
        <is>
          <t>G8</t>
        </is>
      </c>
      <c r="H132" s="14" t="inlineStr">
        <is>
          <t>G8</t>
        </is>
      </c>
      <c r="I132" s="14" t="inlineStr">
        <is>
          <t>FULL-SCOPE, LATER (G8)</t>
        </is>
      </c>
      <c r="J132" s="14" t="inlineStr">
        <is>
          <t>P2</t>
        </is>
      </c>
      <c r="K132" s="14" t="inlineStr">
        <is>
          <t>Partial—gap remains</t>
        </is>
      </c>
      <c r="L132" s="14" t="n"/>
      <c r="M132" s="14" t="n"/>
      <c r="N132" s="14" t="inlineStr">
        <is>
          <t>TM-TST-129</t>
        </is>
      </c>
      <c r="O132" s="14" t="inlineStr">
        <is>
          <t>Not verified — no build</t>
        </is>
      </c>
    </row>
    <row r="133" ht="21.75" customHeight="1" s="10">
      <c r="A133" s="14" t="inlineStr">
        <is>
          <t>TM-REQ-130</t>
        </is>
      </c>
      <c r="B133" s="14" t="inlineStr">
        <is>
          <t>Integrations &amp; product scope</t>
        </is>
      </c>
      <c r="C133" s="14" t="inlineStr">
        <is>
          <t>Research/reference images are conceptual, not authoritative evidence</t>
        </is>
      </c>
      <c r="D133" s="14" t="inlineStr">
        <is>
          <t>P</t>
        </is>
      </c>
      <c r="E133" s="14" t="inlineStr">
        <is>
          <t>INT-12,INT-19</t>
        </is>
      </c>
      <c r="F133" s="14" t="inlineStr">
        <is>
          <t>R1</t>
        </is>
      </c>
      <c r="G133" s="14" t="inlineStr">
        <is>
          <t>G1</t>
        </is>
      </c>
      <c r="H133" s="14" t="inlineStr">
        <is>
          <t>G1</t>
        </is>
      </c>
      <c r="I133" s="14" t="inlineStr">
        <is>
          <t>FIRST-BUILD (G1-G3)</t>
        </is>
      </c>
      <c r="J133" s="14" t="inlineStr">
        <is>
          <t>P1</t>
        </is>
      </c>
      <c r="K133" s="14" t="inlineStr">
        <is>
          <t>Partial—gap remains</t>
        </is>
      </c>
      <c r="L133" s="14" t="n"/>
      <c r="M133" s="14" t="n"/>
      <c r="N133" s="14" t="inlineStr">
        <is>
          <t>TM-TST-130</t>
        </is>
      </c>
      <c r="O133" s="14" t="inlineStr">
        <is>
          <t>Partial — automated part passes; manual/human gate pending — see Tests v2</t>
        </is>
      </c>
    </row>
    <row r="134" ht="15" customHeight="1" s="10">
      <c r="A134" s="14" t="inlineStr">
        <is>
          <t>TM-REQ-131</t>
        </is>
      </c>
      <c r="B134" s="14" t="inlineStr">
        <is>
          <t>Governance &amp; outcomes</t>
        </is>
      </c>
      <c r="C134" s="14" t="inlineStr">
        <is>
          <t>Keep source inventory and requirement coverage synchronized</t>
        </is>
      </c>
      <c r="D134" s="14" t="inlineStr">
        <is>
          <t>P</t>
        </is>
      </c>
      <c r="E134" s="14" t="inlineStr">
        <is>
          <t>INT-27,INT-09</t>
        </is>
      </c>
      <c r="F134" s="14" t="inlineStr">
        <is>
          <t>R1</t>
        </is>
      </c>
      <c r="G134" s="14" t="inlineStr">
        <is>
          <t>G0</t>
        </is>
      </c>
      <c r="H134" s="14" t="inlineStr">
        <is>
          <t>G0</t>
        </is>
      </c>
      <c r="I134" s="14" t="inlineStr">
        <is>
          <t>FIRST-BUILD (G1-G3)</t>
        </is>
      </c>
      <c r="J134" s="14" t="inlineStr">
        <is>
          <t>P0</t>
        </is>
      </c>
      <c r="K134" s="14" t="inlineStr">
        <is>
          <t>Partial—gap remains</t>
        </is>
      </c>
      <c r="L134" s="14" t="n"/>
      <c r="M134" s="14" t="n"/>
      <c r="N134" s="14" t="inlineStr">
        <is>
          <t>TM-TST-131</t>
        </is>
      </c>
      <c r="O134" s="14" t="inlineStr">
        <is>
          <t>Not verified — no build</t>
        </is>
      </c>
    </row>
    <row r="135" ht="15" customHeight="1" s="10">
      <c r="A135" s="14" t="inlineStr">
        <is>
          <t>TM-REQ-132</t>
        </is>
      </c>
      <c r="B135" s="14" t="inlineStr">
        <is>
          <t>Automation &amp; knowledge base</t>
        </is>
      </c>
      <c r="C135" s="14" t="inlineStr">
        <is>
          <t>Automations are explicit rules with preview and rollback</t>
        </is>
      </c>
      <c r="D135" s="14" t="inlineStr">
        <is>
          <t>S</t>
        </is>
      </c>
      <c r="E135" s="14" t="inlineStr">
        <is>
          <t>INT-19</t>
        </is>
      </c>
      <c r="F135" s="14" t="inlineStr">
        <is>
          <t>R1</t>
        </is>
      </c>
      <c r="G135" s="14" t="inlineStr">
        <is>
          <t>G6</t>
        </is>
      </c>
      <c r="H135" s="14" t="inlineStr">
        <is>
          <t>G6</t>
        </is>
      </c>
      <c r="I135" s="14" t="inlineStr">
        <is>
          <t>FULL-SCOPE, LATER (G6)</t>
        </is>
      </c>
      <c r="J135" s="14" t="inlineStr">
        <is>
          <t>P1</t>
        </is>
      </c>
      <c r="K135" s="14" t="inlineStr">
        <is>
          <t>Partial—gap remains</t>
        </is>
      </c>
      <c r="L135" s="14" t="n"/>
      <c r="M135" s="14" t="inlineStr">
        <is>
          <t>D-C</t>
        </is>
      </c>
      <c r="N135" s="14" t="inlineStr">
        <is>
          <t>TM-TST-132</t>
        </is>
      </c>
      <c r="O135" s="14" t="inlineStr">
        <is>
          <t>Not verified — no build</t>
        </is>
      </c>
    </row>
    <row r="136" ht="15" customHeight="1" s="10">
      <c r="A136" s="14" t="inlineStr">
        <is>
          <t>TM-REQ-133</t>
        </is>
      </c>
      <c r="B136" s="14" t="inlineStr">
        <is>
          <t>Automation &amp; knowledge base</t>
        </is>
      </c>
      <c r="C136" s="14" t="inlineStr">
        <is>
          <t>SOPs, playbooks and knowledge base are linked to goals</t>
        </is>
      </c>
      <c r="D136" s="14" t="inlineStr">
        <is>
          <t>S</t>
        </is>
      </c>
      <c r="E136" s="14" t="inlineStr">
        <is>
          <t>INT-19</t>
        </is>
      </c>
      <c r="F136" s="14" t="inlineStr">
        <is>
          <t>R1</t>
        </is>
      </c>
      <c r="G136" s="14" t="inlineStr">
        <is>
          <t>G3</t>
        </is>
      </c>
      <c r="H136" s="14" t="inlineStr">
        <is>
          <t>G3</t>
        </is>
      </c>
      <c r="I136" s="14" t="inlineStr">
        <is>
          <t>FIRST-BUILD (G1-G3)</t>
        </is>
      </c>
      <c r="J136" s="14" t="inlineStr">
        <is>
          <t>P1</t>
        </is>
      </c>
      <c r="K136" s="14" t="inlineStr">
        <is>
          <t>Partial—gap remains</t>
        </is>
      </c>
      <c r="L136" s="14" t="n"/>
      <c r="M136" s="14" t="n"/>
      <c r="N136" s="14" t="inlineStr">
        <is>
          <t>TM-TST-133</t>
        </is>
      </c>
      <c r="O136" s="14" t="inlineStr">
        <is>
          <t>Not verified — no build</t>
        </is>
      </c>
    </row>
    <row r="137" ht="15" customHeight="1" s="10">
      <c r="A137" s="14" t="inlineStr">
        <is>
          <t>TM-REQ-134</t>
        </is>
      </c>
      <c r="B137" s="14" t="inlineStr">
        <is>
          <t>Automation &amp; knowledge base</t>
        </is>
      </c>
      <c r="C137" s="14" t="inlineStr">
        <is>
          <t>External tools are selected only after capability/cost comparison</t>
        </is>
      </c>
      <c r="D137" s="14" t="inlineStr">
        <is>
          <t>S</t>
        </is>
      </c>
      <c r="E137" s="14" t="inlineStr">
        <is>
          <t>INT-19</t>
        </is>
      </c>
      <c r="F137" s="14" t="inlineStr">
        <is>
          <t>R1</t>
        </is>
      </c>
      <c r="G137" s="14" t="inlineStr">
        <is>
          <t>G0</t>
        </is>
      </c>
      <c r="H137" s="14" t="inlineStr">
        <is>
          <t>G6</t>
        </is>
      </c>
      <c r="I137" s="14" t="inlineStr">
        <is>
          <t>FIRST-BUILD (G1-G3)</t>
        </is>
      </c>
      <c r="J137" s="14" t="inlineStr">
        <is>
          <t>P1</t>
        </is>
      </c>
      <c r="K137" s="14" t="inlineStr">
        <is>
          <t>Decision required</t>
        </is>
      </c>
      <c r="L137" s="14" t="n"/>
      <c r="M137" s="14" t="n"/>
      <c r="N137" s="14" t="inlineStr">
        <is>
          <t>TM-TST-134</t>
        </is>
      </c>
      <c r="O137" s="14" t="inlineStr">
        <is>
          <t>Not verified — no build</t>
        </is>
      </c>
    </row>
    <row r="138" ht="21.75" customHeight="1" s="10">
      <c r="A138" s="14" t="inlineStr">
        <is>
          <t>TM-REQ-135</t>
        </is>
      </c>
      <c r="B138" s="14" t="inlineStr">
        <is>
          <t>Automation &amp; knowledge base</t>
        </is>
      </c>
      <c r="C138" s="14" t="inlineStr">
        <is>
          <t>Email, CRM, payment and communication integrations need purpose-specific design</t>
        </is>
      </c>
      <c r="D138" s="14" t="inlineStr">
        <is>
          <t>S</t>
        </is>
      </c>
      <c r="E138" s="14" t="inlineStr">
        <is>
          <t>INT-19</t>
        </is>
      </c>
      <c r="F138" s="14" t="inlineStr">
        <is>
          <t>R1</t>
        </is>
      </c>
      <c r="G138" s="14" t="inlineStr">
        <is>
          <t>G6</t>
        </is>
      </c>
      <c r="H138" s="14" t="inlineStr">
        <is>
          <t>G6</t>
        </is>
      </c>
      <c r="I138" s="14" t="inlineStr">
        <is>
          <t>FULL-SCOPE, LATER (G6)</t>
        </is>
      </c>
      <c r="J138" s="14" t="inlineStr">
        <is>
          <t>P1</t>
        </is>
      </c>
      <c r="K138" s="14" t="inlineStr">
        <is>
          <t>Partial—gap remains</t>
        </is>
      </c>
      <c r="L138" s="14" t="inlineStr">
        <is>
          <t>MERGED into TM-REQ-126</t>
        </is>
      </c>
      <c r="M138" s="14" t="n"/>
      <c r="N138" s="14" t="inlineStr">
        <is>
          <t>TM-TST-135</t>
        </is>
      </c>
      <c r="O138" s="14" t="inlineStr">
        <is>
          <t>Not verified — no build</t>
        </is>
      </c>
    </row>
    <row r="139" ht="15" customHeight="1" s="10">
      <c r="A139" s="14" t="inlineStr">
        <is>
          <t>TM-REQ-136</t>
        </is>
      </c>
      <c r="B139" s="14" t="inlineStr">
        <is>
          <t>Automation &amp; knowledge base</t>
        </is>
      </c>
      <c r="C139" s="14" t="inlineStr">
        <is>
          <t>Choose architecture with a real offline prototype</t>
        </is>
      </c>
      <c r="D139" s="14" t="inlineStr">
        <is>
          <t>S</t>
        </is>
      </c>
      <c r="E139" s="14" t="inlineStr">
        <is>
          <t>INT-19</t>
        </is>
      </c>
      <c r="F139" s="14" t="inlineStr">
        <is>
          <t>R1</t>
        </is>
      </c>
      <c r="G139" s="14" t="inlineStr">
        <is>
          <t>G2</t>
        </is>
      </c>
      <c r="H139" s="14" t="inlineStr">
        <is>
          <t>G2</t>
        </is>
      </c>
      <c r="I139" s="14" t="inlineStr">
        <is>
          <t>FIRST-BUILD (G1-G3)</t>
        </is>
      </c>
      <c r="J139" s="14" t="inlineStr">
        <is>
          <t>P0</t>
        </is>
      </c>
      <c r="K139" s="14" t="inlineStr">
        <is>
          <t>Decision required</t>
        </is>
      </c>
      <c r="L139" s="14" t="n"/>
      <c r="M139" s="14" t="inlineStr">
        <is>
          <t>D-A</t>
        </is>
      </c>
      <c r="N139" s="14" t="inlineStr">
        <is>
          <t>TM-TST-136</t>
        </is>
      </c>
      <c r="O139" s="14" t="inlineStr">
        <is>
          <t>Not verified — no build</t>
        </is>
      </c>
    </row>
    <row r="140" ht="15" customHeight="1" s="10">
      <c r="A140" s="14" t="inlineStr">
        <is>
          <t>TM-REQ-137</t>
        </is>
      </c>
      <c r="B140" s="14" t="inlineStr">
        <is>
          <t>Execution roadmap</t>
        </is>
      </c>
      <c r="C140" s="14" t="inlineStr">
        <is>
          <t>Support adjustable 30/90/180-day and weekly roadmaps</t>
        </is>
      </c>
      <c r="D140" s="14" t="inlineStr">
        <is>
          <t>S</t>
        </is>
      </c>
      <c r="E140" s="14" t="inlineStr">
        <is>
          <t>INT-17</t>
        </is>
      </c>
      <c r="F140" s="14" t="inlineStr">
        <is>
          <t>R1</t>
        </is>
      </c>
      <c r="G140" s="14" t="inlineStr">
        <is>
          <t>G3</t>
        </is>
      </c>
      <c r="H140" s="14" t="inlineStr">
        <is>
          <t>G3</t>
        </is>
      </c>
      <c r="I140" s="14" t="inlineStr">
        <is>
          <t>FIRST-BUILD (G1-G3)</t>
        </is>
      </c>
      <c r="J140" s="14" t="inlineStr">
        <is>
          <t>P1</t>
        </is>
      </c>
      <c r="K140" s="14" t="inlineStr">
        <is>
          <t>Partial—gap remains</t>
        </is>
      </c>
      <c r="L140" s="14" t="n"/>
      <c r="M140" s="14" t="n"/>
      <c r="N140" s="14" t="inlineStr">
        <is>
          <t>TM-TST-137</t>
        </is>
      </c>
      <c r="O140" s="14" t="inlineStr">
        <is>
          <t>Not verified — no build</t>
        </is>
      </c>
    </row>
    <row r="141" ht="21.75" customHeight="1" s="10">
      <c r="A141" s="14" t="inlineStr">
        <is>
          <t>TM-REQ-138</t>
        </is>
      </c>
      <c r="B141" s="14" t="inlineStr">
        <is>
          <t>Execution roadmap</t>
        </is>
      </c>
      <c r="C141" s="14" t="inlineStr">
        <is>
          <t>Track planned versus actual time, spend and output to learn from history</t>
        </is>
      </c>
      <c r="D141" s="14" t="inlineStr">
        <is>
          <t>S</t>
        </is>
      </c>
      <c r="E141" s="14" t="inlineStr">
        <is>
          <t>INT-17</t>
        </is>
      </c>
      <c r="F141" s="14" t="inlineStr">
        <is>
          <t>R1</t>
        </is>
      </c>
      <c r="G141" s="14" t="inlineStr">
        <is>
          <t>G3</t>
        </is>
      </c>
      <c r="H141" s="14" t="inlineStr">
        <is>
          <t>G3</t>
        </is>
      </c>
      <c r="I141" s="14" t="inlineStr">
        <is>
          <t>FIRST-BUILD (G1-G3)</t>
        </is>
      </c>
      <c r="J141" s="14" t="inlineStr">
        <is>
          <t>P1</t>
        </is>
      </c>
      <c r="K141" s="14" t="inlineStr">
        <is>
          <t>Partial—gap remains</t>
        </is>
      </c>
      <c r="L141" s="14" t="n"/>
      <c r="M141" s="14" t="n"/>
      <c r="N141" s="14" t="inlineStr">
        <is>
          <t>TM-TST-138</t>
        </is>
      </c>
      <c r="O141" s="14" t="inlineStr">
        <is>
          <t>Not verified — no build</t>
        </is>
      </c>
    </row>
    <row r="142" ht="15" customHeight="1" s="10">
      <c r="A142" s="14" t="inlineStr">
        <is>
          <t>TM-REQ-139</t>
        </is>
      </c>
      <c r="B142" s="14" t="inlineStr">
        <is>
          <t>Productization &amp; continuity</t>
        </is>
      </c>
      <c r="C142" s="14" t="inlineStr">
        <is>
          <t>Separate internal tool from later commercial/public product</t>
        </is>
      </c>
      <c r="D142" s="14" t="inlineStr">
        <is>
          <t>S</t>
        </is>
      </c>
      <c r="E142" s="14" t="inlineStr">
        <is>
          <t>INT-29</t>
        </is>
      </c>
      <c r="F142" s="14" t="inlineStr">
        <is>
          <t>R2</t>
        </is>
      </c>
      <c r="G142" s="14" t="inlineStr">
        <is>
          <t>G8</t>
        </is>
      </c>
      <c r="H142" s="14" t="inlineStr">
        <is>
          <t>G8</t>
        </is>
      </c>
      <c r="I142" s="14" t="inlineStr">
        <is>
          <t>FULL-SCOPE, LATER (G8)</t>
        </is>
      </c>
      <c r="J142" s="14" t="inlineStr">
        <is>
          <t>P2</t>
        </is>
      </c>
      <c r="K142" s="14" t="inlineStr">
        <is>
          <t>Partial—gap remains</t>
        </is>
      </c>
      <c r="L142" s="14" t="n"/>
      <c r="M142" s="14" t="n"/>
      <c r="N142" s="14" t="inlineStr">
        <is>
          <t>TM-TST-139</t>
        </is>
      </c>
      <c r="O142" s="14" t="inlineStr">
        <is>
          <t>Not verified — no build</t>
        </is>
      </c>
    </row>
    <row r="143" ht="21.75" customHeight="1" s="10">
      <c r="A143" s="14" t="inlineStr">
        <is>
          <t>TM-REQ-140</t>
        </is>
      </c>
      <c r="B143" s="14" t="inlineStr">
        <is>
          <t>Productization &amp; continuity</t>
        </is>
      </c>
      <c r="C143" s="14" t="inlineStr">
        <is>
          <t>Disaster recovery includes export, restore and a tested continuity runbook</t>
        </is>
      </c>
      <c r="D143" s="14" t="inlineStr">
        <is>
          <t>S</t>
        </is>
      </c>
      <c r="E143" s="14" t="inlineStr">
        <is>
          <t>INT-29</t>
        </is>
      </c>
      <c r="F143" s="14" t="inlineStr">
        <is>
          <t>R1</t>
        </is>
      </c>
      <c r="G143" s="14" t="inlineStr">
        <is>
          <t>G2</t>
        </is>
      </c>
      <c r="H143" s="14" t="inlineStr">
        <is>
          <t>G7</t>
        </is>
      </c>
      <c r="I143" s="14" t="inlineStr">
        <is>
          <t>FIRST-BUILD (G1-G3)</t>
        </is>
      </c>
      <c r="J143" s="14" t="inlineStr">
        <is>
          <t>P1</t>
        </is>
      </c>
      <c r="K143" s="14" t="inlineStr">
        <is>
          <t>Partial—gap remains</t>
        </is>
      </c>
      <c r="L143" s="14" t="n"/>
      <c r="M143" s="14" t="inlineStr">
        <is>
          <t>D-A</t>
        </is>
      </c>
      <c r="N143" s="14" t="inlineStr">
        <is>
          <t>TM-TST-140</t>
        </is>
      </c>
      <c r="O143" s="14" t="inlineStr">
        <is>
          <t>Not verified — no build</t>
        </is>
      </c>
    </row>
    <row r="144" ht="15" customHeight="1" s="10">
      <c r="A144" s="14" t="inlineStr">
        <is>
          <t>TM-REQ-141</t>
        </is>
      </c>
      <c r="B144" s="14" t="inlineStr">
        <is>
          <t>Governance &amp; outcomes</t>
        </is>
      </c>
      <c r="C144" s="14" t="inlineStr">
        <is>
          <t>Claims inherited from source material retain evidence status</t>
        </is>
      </c>
      <c r="D144" s="14" t="inlineStr">
        <is>
          <t>P</t>
        </is>
      </c>
      <c r="E144" s="14" t="inlineStr">
        <is>
          <t>INT-27,INT-09</t>
        </is>
      </c>
      <c r="F144" s="14" t="inlineStr">
        <is>
          <t>R0</t>
        </is>
      </c>
      <c r="G144" s="14" t="inlineStr">
        <is>
          <t>G0</t>
        </is>
      </c>
      <c r="H144" s="14" t="inlineStr">
        <is>
          <t>G1</t>
        </is>
      </c>
      <c r="I144" s="14" t="inlineStr">
        <is>
          <t>FIRST-BUILD (G1-G3)</t>
        </is>
      </c>
      <c r="J144" s="14" t="inlineStr">
        <is>
          <t>P0</t>
        </is>
      </c>
      <c r="K144" s="14" t="inlineStr">
        <is>
          <t>Source conflict / stale-risk</t>
        </is>
      </c>
      <c r="L144" s="14" t="inlineStr">
        <is>
          <t>MERGED into TM-REQ-120</t>
        </is>
      </c>
      <c r="M144" s="14" t="n"/>
      <c r="N144" s="14" t="inlineStr">
        <is>
          <t>TM-TST-141</t>
        </is>
      </c>
      <c r="O144" s="14" t="inlineStr">
        <is>
          <t>Not verified — no build</t>
        </is>
      </c>
    </row>
    <row r="145" ht="15" customHeight="1" s="10">
      <c r="A145" s="14" t="inlineStr">
        <is>
          <t>TM-REQ-142</t>
        </is>
      </c>
      <c r="B145" s="14" t="inlineStr">
        <is>
          <t>Venture &amp; Portfolio</t>
        </is>
      </c>
      <c r="C145" s="14" t="inlineStr">
        <is>
          <t>Venture &amp; asset portfolio registry (any number, any industry)</t>
        </is>
      </c>
      <c r="D145" s="14" t="inlineStr">
        <is>
          <t>B</t>
        </is>
      </c>
      <c r="E145" s="14" t="inlineStr">
        <is>
          <t>INT-12</t>
        </is>
      </c>
      <c r="F145" s="14" t="inlineStr">
        <is>
          <t>R0</t>
        </is>
      </c>
      <c r="G145" s="14" t="inlineStr">
        <is>
          <t>G1</t>
        </is>
      </c>
      <c r="H145" s="14" t="inlineStr">
        <is>
          <t>G3</t>
        </is>
      </c>
      <c r="I145" s="14" t="inlineStr">
        <is>
          <t>FIRST-BUILD (G1-G3)</t>
        </is>
      </c>
      <c r="J145" s="14" t="inlineStr">
        <is>
          <t>(new)</t>
        </is>
      </c>
      <c r="K145" s="14" t="inlineStr">
        <is>
          <t>New in v2.0 (MR-01)</t>
        </is>
      </c>
      <c r="L145" s="14" t="n"/>
      <c r="M145" s="14" t="n"/>
      <c r="N145" s="14" t="inlineStr">
        <is>
          <t>TM-TST-142</t>
        </is>
      </c>
      <c r="O145" s="14" t="inlineStr">
        <is>
          <t>Not verified — no build</t>
        </is>
      </c>
    </row>
    <row r="146" ht="15" customHeight="1" s="10">
      <c r="A146" s="14" t="inlineStr">
        <is>
          <t>TM-REQ-143</t>
        </is>
      </c>
      <c r="B146" s="14" t="inlineStr">
        <is>
          <t>Product safety</t>
        </is>
      </c>
      <c r="C146" s="14" t="inlineStr">
        <is>
          <t>Demo/sample data isolated from real profile</t>
        </is>
      </c>
      <c r="D146" s="14" t="inlineStr">
        <is>
          <t>B</t>
        </is>
      </c>
      <c r="E146" s="14" t="inlineStr">
        <is>
          <t>INT-10</t>
        </is>
      </c>
      <c r="F146" s="14" t="inlineStr">
        <is>
          <t>R0</t>
        </is>
      </c>
      <c r="G146" s="14" t="inlineStr">
        <is>
          <t>G1</t>
        </is>
      </c>
      <c r="H146" s="14" t="inlineStr">
        <is>
          <t>G1</t>
        </is>
      </c>
      <c r="I146" s="14" t="inlineStr">
        <is>
          <t>FIRST-BUILD (G1-G3)</t>
        </is>
      </c>
      <c r="J146" s="14" t="inlineStr">
        <is>
          <t>(new)</t>
        </is>
      </c>
      <c r="K146" s="14" t="inlineStr">
        <is>
          <t>New in v2.0 (MR-02)</t>
        </is>
      </c>
      <c r="L146" s="14" t="n"/>
      <c r="M146" s="14" t="n"/>
      <c r="N146" s="14" t="inlineStr">
        <is>
          <t>TM-TST-143</t>
        </is>
      </c>
      <c r="O146" s="14" t="inlineStr">
        <is>
          <t>Verified for G1 scope (automated evidence) — see Tests v2</t>
        </is>
      </c>
    </row>
    <row r="147" ht="15" customHeight="1" s="10">
      <c r="A147" s="14" t="inlineStr">
        <is>
          <t>TM-REQ-144</t>
        </is>
      </c>
      <c r="B147" s="14" t="inlineStr">
        <is>
          <t>Product safety</t>
        </is>
      </c>
      <c r="C147" s="14" t="inlineStr">
        <is>
          <t>Capability Status registry visible in UI</t>
        </is>
      </c>
      <c r="D147" s="14" t="inlineStr">
        <is>
          <t>B</t>
        </is>
      </c>
      <c r="E147" s="14" t="inlineStr">
        <is>
          <t>INT-15</t>
        </is>
      </c>
      <c r="F147" s="14" t="inlineStr">
        <is>
          <t>R0</t>
        </is>
      </c>
      <c r="G147" s="14" t="inlineStr">
        <is>
          <t>G1</t>
        </is>
      </c>
      <c r="H147" s="14" t="inlineStr">
        <is>
          <t>G1</t>
        </is>
      </c>
      <c r="I147" s="14" t="inlineStr">
        <is>
          <t>FIRST-BUILD (G1-G3)</t>
        </is>
      </c>
      <c r="J147" s="14" t="inlineStr">
        <is>
          <t>(new)</t>
        </is>
      </c>
      <c r="K147" s="14" t="inlineStr">
        <is>
          <t>New in v2.0 (MR-03)</t>
        </is>
      </c>
      <c r="L147" s="14" t="n"/>
      <c r="M147" s="14" t="n"/>
      <c r="N147" s="14" t="inlineStr">
        <is>
          <t>TM-TST-144</t>
        </is>
      </c>
      <c r="O147" s="14" t="inlineStr">
        <is>
          <t>Verified for G1 scope (automated evidence) — see Tests v2</t>
        </is>
      </c>
    </row>
    <row r="148" ht="15" customHeight="1" s="10">
      <c r="A148" s="14" t="inlineStr">
        <is>
          <t>TM-REQ-145</t>
        </is>
      </c>
      <c r="B148" s="14" t="inlineStr">
        <is>
          <t>Visual-first UX</t>
        </is>
      </c>
      <c r="C148" s="14" t="inlineStr">
        <is>
          <t>Next-step and missing-info guide</t>
        </is>
      </c>
      <c r="D148" s="14" t="inlineStr">
        <is>
          <t>U</t>
        </is>
      </c>
      <c r="E148" s="14" t="inlineStr">
        <is>
          <t>INT-04</t>
        </is>
      </c>
      <c r="F148" s="14" t="inlineStr">
        <is>
          <t>R1</t>
        </is>
      </c>
      <c r="G148" s="14" t="inlineStr">
        <is>
          <t>G1</t>
        </is>
      </c>
      <c r="H148" s="14" t="inlineStr">
        <is>
          <t>G3</t>
        </is>
      </c>
      <c r="I148" s="14" t="inlineStr">
        <is>
          <t>FIRST-BUILD (G1-G3)</t>
        </is>
      </c>
      <c r="J148" s="14" t="inlineStr">
        <is>
          <t>(new)</t>
        </is>
      </c>
      <c r="K148" s="14" t="inlineStr">
        <is>
          <t>New in v2.0 (MR-04)</t>
        </is>
      </c>
      <c r="L148" s="14" t="n"/>
      <c r="M148" s="14" t="n"/>
      <c r="N148" s="14" t="inlineStr">
        <is>
          <t>TM-TST-145</t>
        </is>
      </c>
      <c r="O148" s="14" t="inlineStr">
        <is>
          <t>Not verified — no build</t>
        </is>
      </c>
    </row>
    <row r="149" ht="15" customHeight="1" s="10">
      <c r="A149" s="14" t="inlineStr">
        <is>
          <t>TM-REQ-146</t>
        </is>
      </c>
      <c r="B149" s="14" t="inlineStr">
        <is>
          <t>AI &amp; research</t>
        </is>
      </c>
      <c r="C149" s="14" t="inlineStr">
        <is>
          <t>Research action contract (consent, &lt;2 options, own option)</t>
        </is>
      </c>
      <c r="D149" s="14" t="inlineStr">
        <is>
          <t>U</t>
        </is>
      </c>
      <c r="E149" s="14" t="inlineStr">
        <is>
          <t>INT-05</t>
        </is>
      </c>
      <c r="F149" s="14" t="inlineStr">
        <is>
          <t>R0</t>
        </is>
      </c>
      <c r="G149" s="14" t="inlineStr">
        <is>
          <t>G1</t>
        </is>
      </c>
      <c r="H149" s="14" t="inlineStr">
        <is>
          <t>G4</t>
        </is>
      </c>
      <c r="I149" s="14" t="inlineStr">
        <is>
          <t>FIRST-BUILD (G1-G3)</t>
        </is>
      </c>
      <c r="J149" s="14" t="inlineStr">
        <is>
          <t>(new)</t>
        </is>
      </c>
      <c r="K149" s="14" t="inlineStr">
        <is>
          <t>New in v2.0 (MR-05)</t>
        </is>
      </c>
      <c r="L149" s="14" t="n"/>
      <c r="M149" s="14" t="n"/>
      <c r="N149" s="14" t="inlineStr">
        <is>
          <t>TM-TST-146</t>
        </is>
      </c>
      <c r="O149" s="14" t="inlineStr">
        <is>
          <t>Not verified — no build</t>
        </is>
      </c>
    </row>
    <row r="150" ht="15" customHeight="1" s="10">
      <c r="A150" s="14" t="inlineStr">
        <is>
          <t>TM-REQ-147</t>
        </is>
      </c>
      <c r="B150" s="14" t="inlineStr">
        <is>
          <t>Goal &amp; execution</t>
        </is>
      </c>
      <c r="C150" s="14" t="inlineStr">
        <is>
          <t>Cross-goal priority conflict and resource contention</t>
        </is>
      </c>
      <c r="D150" s="14" t="inlineStr">
        <is>
          <t>U</t>
        </is>
      </c>
      <c r="E150" s="14" t="inlineStr">
        <is>
          <t>INT-17</t>
        </is>
      </c>
      <c r="F150" s="14" t="inlineStr">
        <is>
          <t>R1</t>
        </is>
      </c>
      <c r="G150" s="14" t="inlineStr">
        <is>
          <t>G3</t>
        </is>
      </c>
      <c r="H150" s="14" t="inlineStr">
        <is>
          <t>G3</t>
        </is>
      </c>
      <c r="I150" s="14" t="inlineStr">
        <is>
          <t>FIRST-BUILD (G1-G3)</t>
        </is>
      </c>
      <c r="J150" s="14" t="inlineStr">
        <is>
          <t>(new)</t>
        </is>
      </c>
      <c r="K150" s="14" t="inlineStr">
        <is>
          <t>New in v2.0 (MR-06)</t>
        </is>
      </c>
      <c r="L150" s="14" t="n"/>
      <c r="M150" s="14" t="n"/>
      <c r="N150" s="14" t="inlineStr">
        <is>
          <t>TM-TST-147</t>
        </is>
      </c>
      <c r="O150" s="14" t="inlineStr">
        <is>
          <t>Not verified — no build</t>
        </is>
      </c>
    </row>
    <row r="151" ht="15" customHeight="1" s="10">
      <c r="A151" s="14" t="inlineStr">
        <is>
          <t>TM-REQ-148</t>
        </is>
      </c>
      <c r="B151" s="14" t="inlineStr">
        <is>
          <t>Goal &amp; execution</t>
        </is>
      </c>
      <c r="C151" s="14" t="inlineStr">
        <is>
          <t>Habit/routine data model, non-punitive</t>
        </is>
      </c>
      <c r="D151" s="14" t="inlineStr">
        <is>
          <t>S</t>
        </is>
      </c>
      <c r="E151" s="14" t="inlineStr">
        <is>
          <t>INT-17</t>
        </is>
      </c>
      <c r="F151" s="14" t="inlineStr">
        <is>
          <t>R1</t>
        </is>
      </c>
      <c r="G151" s="14" t="inlineStr">
        <is>
          <t>G3</t>
        </is>
      </c>
      <c r="H151" s="14" t="inlineStr">
        <is>
          <t>G3</t>
        </is>
      </c>
      <c r="I151" s="14" t="inlineStr">
        <is>
          <t>FIRST-BUILD (G1-G3)</t>
        </is>
      </c>
      <c r="J151" s="14" t="inlineStr">
        <is>
          <t>(new)</t>
        </is>
      </c>
      <c r="K151" s="14" t="inlineStr">
        <is>
          <t>New in v2.0 (MR-07)</t>
        </is>
      </c>
      <c r="L151" s="14" t="n"/>
      <c r="M151" s="14" t="n"/>
      <c r="N151" s="14" t="inlineStr">
        <is>
          <t>TM-TST-148</t>
        </is>
      </c>
      <c r="O151" s="14" t="inlineStr">
        <is>
          <t>Not verified — no build</t>
        </is>
      </c>
    </row>
    <row r="152" ht="15" customHeight="1" s="10">
      <c r="A152" s="14" t="inlineStr">
        <is>
          <t>TM-REQ-149</t>
        </is>
      </c>
      <c r="B152" s="14" t="inlineStr">
        <is>
          <t>Goal &amp; execution</t>
        </is>
      </c>
      <c r="C152" s="14" t="inlineStr">
        <is>
          <t>Team, hiring and delegation planning</t>
        </is>
      </c>
      <c r="D152" s="14" t="inlineStr">
        <is>
          <t>S</t>
        </is>
      </c>
      <c r="E152" s="14" t="inlineStr">
        <is>
          <t>INT-19</t>
        </is>
      </c>
      <c r="F152" s="14" t="inlineStr">
        <is>
          <t>R1</t>
        </is>
      </c>
      <c r="G152" s="14" t="inlineStr">
        <is>
          <t>G3</t>
        </is>
      </c>
      <c r="H152" s="14" t="inlineStr">
        <is>
          <t>G3</t>
        </is>
      </c>
      <c r="I152" s="14" t="inlineStr">
        <is>
          <t>FIRST-BUILD (G1-G3)</t>
        </is>
      </c>
      <c r="J152" s="14" t="inlineStr">
        <is>
          <t>(new)</t>
        </is>
      </c>
      <c r="K152" s="14" t="inlineStr">
        <is>
          <t>New in v2.0 (MR-08)</t>
        </is>
      </c>
      <c r="L152" s="14" t="n"/>
      <c r="M152" s="14" t="n"/>
      <c r="N152" s="14" t="inlineStr">
        <is>
          <t>TM-TST-149</t>
        </is>
      </c>
      <c r="O152" s="14" t="inlineStr">
        <is>
          <t>Not verified — no build</t>
        </is>
      </c>
    </row>
    <row r="153" ht="15" customHeight="1" s="10">
      <c r="A153" s="14" t="inlineStr">
        <is>
          <t>TM-REQ-150</t>
        </is>
      </c>
      <c r="B153" s="14" t="inlineStr">
        <is>
          <t>Finance &amp; financial safety</t>
        </is>
      </c>
      <c r="C153" s="14" t="inlineStr">
        <is>
          <t>Multi-currency, FX and price basis</t>
        </is>
      </c>
      <c r="D153" s="14" t="inlineStr">
        <is>
          <t>S</t>
        </is>
      </c>
      <c r="E153" s="14" t="inlineStr">
        <is>
          <t>INT-01</t>
        </is>
      </c>
      <c r="F153" s="14" t="inlineStr">
        <is>
          <t>R1</t>
        </is>
      </c>
      <c r="G153" s="14" t="inlineStr">
        <is>
          <t>G3</t>
        </is>
      </c>
      <c r="H153" s="14" t="inlineStr">
        <is>
          <t>G3</t>
        </is>
      </c>
      <c r="I153" s="14" t="inlineStr">
        <is>
          <t>FIRST-BUILD (G1-G3)</t>
        </is>
      </c>
      <c r="J153" s="14" t="inlineStr">
        <is>
          <t>(new)</t>
        </is>
      </c>
      <c r="K153" s="14" t="inlineStr">
        <is>
          <t>New in v2.0 (MR-09)</t>
        </is>
      </c>
      <c r="L153" s="14" t="n"/>
      <c r="M153" s="14" t="n"/>
      <c r="N153" s="14" t="inlineStr">
        <is>
          <t>TM-TST-150</t>
        </is>
      </c>
      <c r="O153" s="14" t="inlineStr">
        <is>
          <t>Not verified — no build</t>
        </is>
      </c>
    </row>
    <row r="154" ht="15" customHeight="1" s="10">
      <c r="A154" s="14" t="inlineStr">
        <is>
          <t>TM-REQ-151</t>
        </is>
      </c>
      <c r="B154" s="14" t="inlineStr">
        <is>
          <t>Governance &amp; outcomes</t>
        </is>
      </c>
      <c r="C154" s="14" t="inlineStr">
        <is>
          <t>Advice-boundary and expert-review routing</t>
        </is>
      </c>
      <c r="D154" s="14" t="inlineStr">
        <is>
          <t>P</t>
        </is>
      </c>
      <c r="E154" s="14" t="inlineStr">
        <is>
          <t>INT-22</t>
        </is>
      </c>
      <c r="F154" s="14" t="inlineStr">
        <is>
          <t>R0</t>
        </is>
      </c>
      <c r="G154" s="14" t="inlineStr">
        <is>
          <t>G3</t>
        </is>
      </c>
      <c r="H154" s="14" t="inlineStr">
        <is>
          <t>G3</t>
        </is>
      </c>
      <c r="I154" s="14" t="inlineStr">
        <is>
          <t>FIRST-BUILD (G1-G3)</t>
        </is>
      </c>
      <c r="J154" s="14" t="inlineStr">
        <is>
          <t>(new)</t>
        </is>
      </c>
      <c r="K154" s="14" t="inlineStr">
        <is>
          <t>New in v2.0 (MR-10)</t>
        </is>
      </c>
      <c r="L154" s="14" t="n"/>
      <c r="M154" s="14" t="n"/>
      <c r="N154" s="14" t="inlineStr">
        <is>
          <t>TM-TST-151</t>
        </is>
      </c>
      <c r="O154" s="14" t="inlineStr">
        <is>
          <t>Not verified — no build</t>
        </is>
      </c>
    </row>
    <row r="155" ht="15" customHeight="1" s="10">
      <c r="A155" s="14" t="inlineStr">
        <is>
          <t>TM-REQ-152</t>
        </is>
      </c>
      <c r="B155" s="14" t="inlineStr">
        <is>
          <t>Goal &amp; execution</t>
        </is>
      </c>
      <c r="C155" s="14" t="inlineStr">
        <is>
          <t>Risk register and stop/kill criteria</t>
        </is>
      </c>
      <c r="D155" s="14" t="inlineStr">
        <is>
          <t>P</t>
        </is>
      </c>
      <c r="E155" s="14" t="inlineStr">
        <is>
          <t>INT-16</t>
        </is>
      </c>
      <c r="F155" s="14" t="inlineStr">
        <is>
          <t>R1</t>
        </is>
      </c>
      <c r="G155" s="14" t="inlineStr">
        <is>
          <t>G3</t>
        </is>
      </c>
      <c r="H155" s="14" t="inlineStr">
        <is>
          <t>G3</t>
        </is>
      </c>
      <c r="I155" s="14" t="inlineStr">
        <is>
          <t>FIRST-BUILD (G1-G3)</t>
        </is>
      </c>
      <c r="J155" s="14" t="inlineStr">
        <is>
          <t>(new)</t>
        </is>
      </c>
      <c r="K155" s="14" t="inlineStr">
        <is>
          <t>New in v2.0 (MR-11)</t>
        </is>
      </c>
      <c r="L155" s="14" t="n"/>
      <c r="M155" s="14" t="n"/>
      <c r="N155" s="14" t="inlineStr">
        <is>
          <t>TM-TST-152</t>
        </is>
      </c>
      <c r="O155" s="14" t="inlineStr">
        <is>
          <t>Not verified — no build</t>
        </is>
      </c>
    </row>
    <row r="156" ht="15" customHeight="1" s="10">
      <c r="A156" s="14" t="inlineStr">
        <is>
          <t>TM-REQ-153</t>
        </is>
      </c>
      <c r="B156" s="14" t="inlineStr">
        <is>
          <t>Offline &amp; resilience</t>
        </is>
      </c>
      <c r="C156" s="14" t="inlineStr">
        <is>
          <t>Export/import formats, data dictionary</t>
        </is>
      </c>
      <c r="D156" s="14" t="inlineStr">
        <is>
          <t>B</t>
        </is>
      </c>
      <c r="E156" s="14" t="inlineStr">
        <is>
          <t>INT-09</t>
        </is>
      </c>
      <c r="F156" s="14" t="inlineStr">
        <is>
          <t>R1</t>
        </is>
      </c>
      <c r="G156" s="14" t="inlineStr">
        <is>
          <t>G3</t>
        </is>
      </c>
      <c r="H156" s="14" t="inlineStr">
        <is>
          <t>G3</t>
        </is>
      </c>
      <c r="I156" s="14" t="inlineStr">
        <is>
          <t>FIRST-BUILD (G1-G3)</t>
        </is>
      </c>
      <c r="J156" s="14" t="inlineStr">
        <is>
          <t>(new)</t>
        </is>
      </c>
      <c r="K156" s="14" t="inlineStr">
        <is>
          <t>New in v2.0 (MR-12)</t>
        </is>
      </c>
      <c r="L156" s="14" t="n"/>
      <c r="M156" s="14" t="n"/>
      <c r="N156" s="14" t="inlineStr">
        <is>
          <t>TM-TST-153</t>
        </is>
      </c>
      <c r="O156" s="14" t="inlineStr">
        <is>
          <t>Not verified — no build</t>
        </is>
      </c>
    </row>
    <row r="157" ht="15" customHeight="1" s="10">
      <c r="A157" s="14" t="inlineStr">
        <is>
          <t>TM-REQ-154</t>
        </is>
      </c>
      <c r="B157" s="14" t="inlineStr">
        <is>
          <t>Productization &amp; continuity</t>
        </is>
      </c>
      <c r="C157" s="14" t="inlineStr">
        <is>
          <t>Extensibility: new domains/fields without rebuild</t>
        </is>
      </c>
      <c r="D157" s="14" t="inlineStr">
        <is>
          <t>U</t>
        </is>
      </c>
      <c r="E157" s="14" t="inlineStr">
        <is>
          <t>INT-20</t>
        </is>
      </c>
      <c r="F157" s="14" t="inlineStr">
        <is>
          <t>R1</t>
        </is>
      </c>
      <c r="G157" s="14" t="inlineStr">
        <is>
          <t>G1</t>
        </is>
      </c>
      <c r="H157" s="14" t="inlineStr">
        <is>
          <t>G3</t>
        </is>
      </c>
      <c r="I157" s="14" t="inlineStr">
        <is>
          <t>FIRST-BUILD (G1-G3)</t>
        </is>
      </c>
      <c r="J157" s="14" t="inlineStr">
        <is>
          <t>(new)</t>
        </is>
      </c>
      <c r="K157" s="14" t="inlineStr">
        <is>
          <t>New in v2.0 (MR-13)</t>
        </is>
      </c>
      <c r="L157" s="14" t="n"/>
      <c r="M157" s="14" t="n"/>
      <c r="N157" s="14" t="inlineStr">
        <is>
          <t>TM-TST-154</t>
        </is>
      </c>
      <c r="O157" s="14" t="inlineStr">
        <is>
          <t>Not verified — no build</t>
        </is>
      </c>
    </row>
    <row r="158" ht="15" customHeight="1" s="10">
      <c r="A158" s="14" t="inlineStr">
        <is>
          <t>TM-REQ-155</t>
        </is>
      </c>
      <c r="B158" s="14" t="inlineStr">
        <is>
          <t>Security, privacy &amp; compliance</t>
        </is>
      </c>
      <c r="C158" s="14" t="inlineStr">
        <is>
          <t>On-device protection: app-lock, notification privacy, key recovery</t>
        </is>
      </c>
      <c r="D158" s="14" t="inlineStr">
        <is>
          <t>P</t>
        </is>
      </c>
      <c r="E158" s="14" t="inlineStr">
        <is>
          <t>INT-22</t>
        </is>
      </c>
      <c r="F158" s="14" t="inlineStr">
        <is>
          <t>R0</t>
        </is>
      </c>
      <c r="G158" s="14" t="inlineStr">
        <is>
          <t>G2</t>
        </is>
      </c>
      <c r="H158" s="14" t="inlineStr">
        <is>
          <t>G7</t>
        </is>
      </c>
      <c r="I158" s="14" t="inlineStr">
        <is>
          <t>FIRST-BUILD (G1-G3)</t>
        </is>
      </c>
      <c r="J158" s="14" t="inlineStr">
        <is>
          <t>(new)</t>
        </is>
      </c>
      <c r="K158" s="14" t="inlineStr">
        <is>
          <t>New in v2.0 (MR-14)</t>
        </is>
      </c>
      <c r="L158" s="14" t="n"/>
      <c r="M158" s="14" t="inlineStr">
        <is>
          <t>D-B</t>
        </is>
      </c>
      <c r="N158" s="14" t="inlineStr">
        <is>
          <t>TM-TST-155</t>
        </is>
      </c>
      <c r="O158" s="14" t="inlineStr">
        <is>
          <t>Not verified — no build</t>
        </is>
      </c>
    </row>
    <row r="159" ht="15" customHeight="1" s="10">
      <c r="A159" s="14" t="inlineStr">
        <is>
          <t>TM-REQ-156</t>
        </is>
      </c>
      <c r="B159" s="14" t="inlineStr">
        <is>
          <t>Security, privacy &amp; compliance</t>
        </is>
      </c>
      <c r="C159" s="14" t="inlineStr">
        <is>
          <t>Retention vs deletion reconciliation</t>
        </is>
      </c>
      <c r="D159" s="14" t="inlineStr">
        <is>
          <t>P</t>
        </is>
      </c>
      <c r="E159" s="14" t="inlineStr">
        <is>
          <t>INT-22</t>
        </is>
      </c>
      <c r="F159" s="14" t="inlineStr">
        <is>
          <t>R0</t>
        </is>
      </c>
      <c r="G159" s="14" t="inlineStr">
        <is>
          <t>G1</t>
        </is>
      </c>
      <c r="H159" s="14" t="inlineStr">
        <is>
          <t>G7</t>
        </is>
      </c>
      <c r="I159" s="14" t="inlineStr">
        <is>
          <t>FIRST-BUILD (G1-G3)</t>
        </is>
      </c>
      <c r="J159" s="14" t="inlineStr">
        <is>
          <t>(new)</t>
        </is>
      </c>
      <c r="K159" s="14" t="inlineStr">
        <is>
          <t>New in v2.0 (MR-15)</t>
        </is>
      </c>
      <c r="L159" s="14" t="n"/>
      <c r="M159" s="14" t="inlineStr">
        <is>
          <t>D-B</t>
        </is>
      </c>
      <c r="N159" s="14" t="inlineStr">
        <is>
          <t>TM-TST-156</t>
        </is>
      </c>
      <c r="O159" s="14" t="inlineStr">
        <is>
          <t>Not verified — no build</t>
        </is>
      </c>
    </row>
    <row r="160" ht="15" customHeight="1" s="10">
      <c r="A160" s="14" t="inlineStr">
        <is>
          <t>TM-REQ-157</t>
        </is>
      </c>
      <c r="B160" s="14" t="inlineStr">
        <is>
          <t>Well-being &amp; resilience</t>
        </is>
      </c>
      <c r="C160" s="14" t="inlineStr">
        <is>
          <t>Health, learning and family goal domains</t>
        </is>
      </c>
      <c r="D160" s="14" t="inlineStr">
        <is>
          <t>U</t>
        </is>
      </c>
      <c r="E160" s="14" t="inlineStr">
        <is>
          <t>INT-17</t>
        </is>
      </c>
      <c r="F160" s="14" t="inlineStr">
        <is>
          <t>R1</t>
        </is>
      </c>
      <c r="G160" s="14" t="inlineStr">
        <is>
          <t>G3</t>
        </is>
      </c>
      <c r="H160" s="14" t="inlineStr">
        <is>
          <t>G3</t>
        </is>
      </c>
      <c r="I160" s="14" t="inlineStr">
        <is>
          <t>FIRST-BUILD (G1-G3)</t>
        </is>
      </c>
      <c r="J160" s="14" t="inlineStr">
        <is>
          <t>(new)</t>
        </is>
      </c>
      <c r="K160" s="14" t="inlineStr">
        <is>
          <t>New in v2.0 (MR-16)</t>
        </is>
      </c>
      <c r="L160" s="14" t="n"/>
      <c r="M160" s="14" t="n"/>
      <c r="N160" s="14" t="inlineStr">
        <is>
          <t>TM-TST-157</t>
        </is>
      </c>
      <c r="O160" s="14" t="inlineStr">
        <is>
          <t>Not verified — no build</t>
        </is>
      </c>
    </row>
    <row r="161" ht="15" customHeight="1" s="10">
      <c r="A161" s="14" t="inlineStr">
        <is>
          <t>TM-REQ-158</t>
        </is>
      </c>
      <c r="B161" s="14" t="inlineStr">
        <is>
          <t>Visual-first UX</t>
        </is>
      </c>
      <c r="C161" s="14" t="inlineStr">
        <is>
          <t>Visual component catalogue (data-bound)</t>
        </is>
      </c>
      <c r="D161" s="14" t="inlineStr">
        <is>
          <t>U+B</t>
        </is>
      </c>
      <c r="E161" s="14" t="inlineStr">
        <is>
          <t>INT-16</t>
        </is>
      </c>
      <c r="F161" s="14" t="inlineStr">
        <is>
          <t>R1</t>
        </is>
      </c>
      <c r="G161" s="14" t="inlineStr">
        <is>
          <t>G1</t>
        </is>
      </c>
      <c r="H161" s="14" t="inlineStr">
        <is>
          <t>G3</t>
        </is>
      </c>
      <c r="I161" s="14" t="inlineStr">
        <is>
          <t>FIRST-BUILD (G1-G3)</t>
        </is>
      </c>
      <c r="J161" s="14" t="inlineStr">
        <is>
          <t>(new)</t>
        </is>
      </c>
      <c r="K161" s="14" t="inlineStr">
        <is>
          <t>New in v2.0 (MR-17)</t>
        </is>
      </c>
      <c r="L161" s="14" t="n"/>
      <c r="M161" s="14" t="n"/>
      <c r="N161" s="14" t="inlineStr">
        <is>
          <t>TM-TST-158</t>
        </is>
      </c>
      <c r="O161" s="14" t="inlineStr">
        <is>
          <t>Not verified — no build</t>
        </is>
      </c>
    </row>
    <row r="162" ht="15" customHeight="1" s="10">
      <c r="A162" s="14" t="inlineStr">
        <is>
          <t>TM-REQ-159</t>
        </is>
      </c>
      <c r="B162" s="14" t="inlineStr">
        <is>
          <t>Governance &amp; outcomes</t>
        </is>
      </c>
      <c r="C162" s="14" t="inlineStr">
        <is>
          <t>Source intake completeness (originals, images, user statements)</t>
        </is>
      </c>
      <c r="D162" s="14" t="inlineStr">
        <is>
          <t>P</t>
        </is>
      </c>
      <c r="E162" s="14" t="inlineStr">
        <is>
          <t>INT-32</t>
        </is>
      </c>
      <c r="F162" s="14" t="inlineStr">
        <is>
          <t>R0</t>
        </is>
      </c>
      <c r="G162" s="14" t="inlineStr">
        <is>
          <t>G0</t>
        </is>
      </c>
      <c r="H162" s="14" t="inlineStr">
        <is>
          <t>G0</t>
        </is>
      </c>
      <c r="I162" s="14" t="inlineStr">
        <is>
          <t>FIRST-BUILD (G1-G3)</t>
        </is>
      </c>
      <c r="J162" s="14" t="inlineStr">
        <is>
          <t>(new)</t>
        </is>
      </c>
      <c r="K162" s="14" t="inlineStr">
        <is>
          <t>New in v2.0 (MR-18)</t>
        </is>
      </c>
      <c r="L162" s="14" t="n"/>
      <c r="M162" s="14" t="n"/>
      <c r="N162" s="14" t="inlineStr">
        <is>
          <t>TM-TST-159</t>
        </is>
      </c>
      <c r="O162" s="14" t="inlineStr">
        <is>
          <t>Not verified — no build</t>
        </is>
      </c>
    </row>
    <row r="163" ht="15" customHeight="1" s="10">
      <c r="A163" s="14" t="inlineStr">
        <is>
          <t>TM-REQ-160</t>
        </is>
      </c>
      <c r="B163" s="14" t="inlineStr">
        <is>
          <t>Offline &amp; resilience</t>
        </is>
      </c>
      <c r="C163" s="14" t="inlineStr">
        <is>
          <t>Offline notification/reminder engine</t>
        </is>
      </c>
      <c r="D163" s="14" t="inlineStr">
        <is>
          <t>P</t>
        </is>
      </c>
      <c r="E163" s="14" t="inlineStr">
        <is>
          <t>INT-14</t>
        </is>
      </c>
      <c r="F163" s="14" t="inlineStr">
        <is>
          <t>R1</t>
        </is>
      </c>
      <c r="G163" s="14" t="inlineStr">
        <is>
          <t>G2</t>
        </is>
      </c>
      <c r="H163" s="14" t="inlineStr">
        <is>
          <t>G2</t>
        </is>
      </c>
      <c r="I163" s="14" t="inlineStr">
        <is>
          <t>FIRST-BUILD (G1-G3)</t>
        </is>
      </c>
      <c r="J163" s="14" t="inlineStr">
        <is>
          <t>(new)</t>
        </is>
      </c>
      <c r="K163" s="14" t="inlineStr">
        <is>
          <t>New in v2.0 (MR-19)</t>
        </is>
      </c>
      <c r="L163" s="14" t="n"/>
      <c r="M163" s="14" t="inlineStr">
        <is>
          <t>D-A</t>
        </is>
      </c>
      <c r="N163" s="14" t="inlineStr">
        <is>
          <t>TM-TST-160</t>
        </is>
      </c>
      <c r="O163" s="14" t="inlineStr">
        <is>
          <t>Not verified — no build</t>
        </is>
      </c>
    </row>
    <row r="164" ht="15" customHeight="1" s="10">
      <c r="A164" s="14" t="inlineStr">
        <is>
          <t>TM-REQ-161</t>
        </is>
      </c>
      <c r="B164" s="14" t="inlineStr">
        <is>
          <t>Visual-first UX</t>
        </is>
      </c>
      <c r="C164" s="14" t="inlineStr">
        <is>
          <t>Bangla glossary and field-help library</t>
        </is>
      </c>
      <c r="D164" s="14" t="inlineStr">
        <is>
          <t>U</t>
        </is>
      </c>
      <c r="E164" s="14" t="inlineStr">
        <is>
          <t>INT-04</t>
        </is>
      </c>
      <c r="F164" s="14" t="inlineStr">
        <is>
          <t>R1</t>
        </is>
      </c>
      <c r="G164" s="14" t="inlineStr">
        <is>
          <t>G1</t>
        </is>
      </c>
      <c r="H164" s="14" t="inlineStr">
        <is>
          <t>G1</t>
        </is>
      </c>
      <c r="I164" s="14" t="inlineStr">
        <is>
          <t>FIRST-BUILD (G1-G3)</t>
        </is>
      </c>
      <c r="J164" s="14" t="inlineStr">
        <is>
          <t>(new)</t>
        </is>
      </c>
      <c r="K164" s="14" t="inlineStr">
        <is>
          <t>New in v2.0 (MR-20)</t>
        </is>
      </c>
      <c r="L164" s="14" t="n"/>
      <c r="M164" s="14" t="n"/>
      <c r="N164" s="14" t="inlineStr">
        <is>
          <t>TM-TST-161</t>
        </is>
      </c>
      <c r="O164" s="14" t="inlineStr">
        <is>
          <t>Partial — automated part passes; manual/human gate pending — see Tests v2</t>
        </is>
      </c>
    </row>
    <row r="165" ht="15" customHeight="1" s="10">
      <c r="A165" s="14" t="inlineStr">
        <is>
          <t>TM-REQ-162</t>
        </is>
      </c>
      <c r="B165" s="14" t="inlineStr">
        <is>
          <t>Governance &amp; outcomes</t>
        </is>
      </c>
      <c r="C165" s="14" t="inlineStr">
        <is>
          <t>Freshness of user-entered facts</t>
        </is>
      </c>
      <c r="D165" s="14" t="inlineStr">
        <is>
          <t>P</t>
        </is>
      </c>
      <c r="E165" s="14" t="inlineStr">
        <is>
          <t>INT-09</t>
        </is>
      </c>
      <c r="F165" s="14" t="inlineStr">
        <is>
          <t>R1</t>
        </is>
      </c>
      <c r="G165" s="14" t="inlineStr">
        <is>
          <t>G3</t>
        </is>
      </c>
      <c r="H165" s="14" t="inlineStr">
        <is>
          <t>G3</t>
        </is>
      </c>
      <c r="I165" s="14" t="inlineStr">
        <is>
          <t>FIRST-BUILD (G1-G3)</t>
        </is>
      </c>
      <c r="J165" s="14" t="inlineStr">
        <is>
          <t>(new)</t>
        </is>
      </c>
      <c r="K165" s="14" t="inlineStr">
        <is>
          <t>New in v2.0 (MR-21)</t>
        </is>
      </c>
      <c r="L165" s="14" t="n"/>
      <c r="M165" s="14" t="n"/>
      <c r="N165" s="14" t="inlineStr">
        <is>
          <t>TM-TST-162</t>
        </is>
      </c>
      <c r="O165" s="14" t="inlineStr">
        <is>
          <t>Not verified — no build</t>
        </is>
      </c>
    </row>
    <row r="166" ht="15" customHeight="1" s="10">
      <c r="A166" s="14" t="inlineStr">
        <is>
          <t>TM-REQ-163</t>
        </is>
      </c>
      <c r="B166" s="14" t="inlineStr">
        <is>
          <t>Offline &amp; resilience</t>
        </is>
      </c>
      <c r="C166" s="14" t="inlineStr">
        <is>
          <t>Performance and storage budget on low-end phones</t>
        </is>
      </c>
      <c r="D166" s="14" t="inlineStr">
        <is>
          <t>P</t>
        </is>
      </c>
      <c r="E166" s="14" t="inlineStr">
        <is>
          <t>INT-34</t>
        </is>
      </c>
      <c r="F166" s="14" t="inlineStr">
        <is>
          <t>R1</t>
        </is>
      </c>
      <c r="G166" s="14" t="inlineStr">
        <is>
          <t>G2</t>
        </is>
      </c>
      <c r="H166" s="14" t="inlineStr">
        <is>
          <t>G2</t>
        </is>
      </c>
      <c r="I166" s="14" t="inlineStr">
        <is>
          <t>FIRST-BUILD (G1-G3)</t>
        </is>
      </c>
      <c r="J166" s="14" t="inlineStr">
        <is>
          <t>(new)</t>
        </is>
      </c>
      <c r="K166" s="14" t="inlineStr">
        <is>
          <t>New in v2.0 (MR-22)</t>
        </is>
      </c>
      <c r="L166" s="14" t="n"/>
      <c r="M166" s="14" t="inlineStr">
        <is>
          <t>D-A</t>
        </is>
      </c>
      <c r="N166" s="14" t="inlineStr">
        <is>
          <t>TM-TST-163</t>
        </is>
      </c>
      <c r="O166" s="14" t="inlineStr">
        <is>
          <t>Not verified — no build</t>
        </is>
      </c>
    </row>
    <row r="167" ht="15" customHeight="1" s="10">
      <c r="A167" s="14" t="inlineStr">
        <is>
          <t>TM-REQ-164</t>
        </is>
      </c>
      <c r="B167" s="14" t="inlineStr">
        <is>
          <t>Integrations &amp; product scope</t>
        </is>
      </c>
      <c r="C167" s="14" t="inlineStr">
        <is>
          <t>Limited sharing (family/accountant) — needs owner confirmation</t>
        </is>
      </c>
      <c r="D167" s="14" t="inlineStr">
        <is>
          <t>I</t>
        </is>
      </c>
      <c r="E167" s="14" t="inlineStr">
        <is>
          <t>INT-24</t>
        </is>
      </c>
      <c r="F167" s="14" t="inlineStr">
        <is>
          <t>R2</t>
        </is>
      </c>
      <c r="G167" s="14" t="inlineStr">
        <is>
          <t>G8</t>
        </is>
      </c>
      <c r="H167" s="14" t="inlineStr">
        <is>
          <t>G8</t>
        </is>
      </c>
      <c r="I167" s="14" t="inlineStr">
        <is>
          <t>FULL-SCOPE, LATER (G8)</t>
        </is>
      </c>
      <c r="J167" s="14" t="inlineStr">
        <is>
          <t>(new)</t>
        </is>
      </c>
      <c r="K167" s="14" t="inlineStr">
        <is>
          <t>New in v2.0 (MR-23)</t>
        </is>
      </c>
      <c r="L167" s="14" t="n"/>
      <c r="M167" s="14" t="n"/>
      <c r="N167" s="14" t="inlineStr">
        <is>
          <t>TM-TST-164</t>
        </is>
      </c>
      <c r="O167" s="14" t="inlineStr">
        <is>
          <t>Not verified — no build</t>
        </is>
      </c>
    </row>
    <row r="168" ht="15" customHeight="1" s="10">
      <c r="A168" s="14" t="inlineStr">
        <is>
          <t>TM-REQ-165</t>
        </is>
      </c>
      <c r="B168" s="14" t="inlineStr">
        <is>
          <t>Starting-point profile</t>
        </is>
      </c>
      <c r="C168" s="14" t="inlineStr">
        <is>
          <t>Assessment-first: interests, strengths, values, skills before path</t>
        </is>
      </c>
      <c r="D168" s="14" t="inlineStr">
        <is>
          <t>U</t>
        </is>
      </c>
      <c r="E168" s="14" t="inlineStr">
        <is>
          <t>INT-30</t>
        </is>
      </c>
      <c r="F168" s="14" t="inlineStr">
        <is>
          <t>R1</t>
        </is>
      </c>
      <c r="G168" s="14" t="inlineStr">
        <is>
          <t>G3</t>
        </is>
      </c>
      <c r="H168" s="14" t="inlineStr">
        <is>
          <t>G3</t>
        </is>
      </c>
      <c r="I168" s="14" t="inlineStr">
        <is>
          <t>FIRST-BUILD (G1-G3)</t>
        </is>
      </c>
      <c r="J168" s="14" t="inlineStr">
        <is>
          <t>(new)</t>
        </is>
      </c>
      <c r="K168" s="14" t="inlineStr">
        <is>
          <t>New in v2.0 (MR-24)</t>
        </is>
      </c>
      <c r="L168" s="14" t="n"/>
      <c r="M168" s="14" t="n"/>
      <c r="N168" s="14" t="inlineStr">
        <is>
          <t>TM-TST-165</t>
        </is>
      </c>
      <c r="O168" s="14" t="inlineStr">
        <is>
          <t>Not verified — no build</t>
        </is>
      </c>
    </row>
    <row r="169" ht="15" customHeight="1" s="10">
      <c r="A169" s="14" t="inlineStr">
        <is>
          <t>TM-REQ-166</t>
        </is>
      </c>
      <c r="B169" s="14" t="inlineStr">
        <is>
          <t>Goal &amp; execution</t>
        </is>
      </c>
      <c r="C169" s="14" t="inlineStr">
        <is>
          <t>Stage-gate achievement, journey log, non-punitive motivation</t>
        </is>
      </c>
      <c r="D169" s="14" t="inlineStr">
        <is>
          <t>U</t>
        </is>
      </c>
      <c r="E169" s="14" t="inlineStr">
        <is>
          <t>INT-33</t>
        </is>
      </c>
      <c r="F169" s="14" t="inlineStr">
        <is>
          <t>R1</t>
        </is>
      </c>
      <c r="G169" s="14" t="inlineStr">
        <is>
          <t>G1</t>
        </is>
      </c>
      <c r="H169" s="14" t="inlineStr">
        <is>
          <t>G3</t>
        </is>
      </c>
      <c r="I169" s="14" t="inlineStr">
        <is>
          <t>FIRST-BUILD (G1-G3)</t>
        </is>
      </c>
      <c r="J169" s="14" t="inlineStr">
        <is>
          <t>(new)</t>
        </is>
      </c>
      <c r="K169" s="14" t="inlineStr">
        <is>
          <t>New in v2.0 (MR-25)</t>
        </is>
      </c>
      <c r="L169" s="14" t="n"/>
      <c r="M169" s="14" t="n"/>
      <c r="N169" s="14" t="inlineStr">
        <is>
          <t>TM-TST-166</t>
        </is>
      </c>
      <c r="O169" s="14" t="inlineStr">
        <is>
          <t>Partial — automated part passes; manual/human gate pending — see Tests v2</t>
        </is>
      </c>
    </row>
    <row r="170" ht="21.75" customHeight="1" s="10">
      <c r="A170" s="14" t="inlineStr">
        <is>
          <t>TM-REQ-167</t>
        </is>
      </c>
      <c r="B170" s="14" t="inlineStr">
        <is>
          <t>Opportunity research &amp; markets</t>
        </is>
      </c>
      <c r="C170" s="14" t="inlineStr">
        <is>
          <t>Neutral global opportunity library matched to assessment</t>
        </is>
      </c>
      <c r="D170" s="14" t="inlineStr">
        <is>
          <t>U</t>
        </is>
      </c>
      <c r="E170" s="14" t="inlineStr">
        <is>
          <t>INT-31</t>
        </is>
      </c>
      <c r="F170" s="14" t="inlineStr">
        <is>
          <t>R1</t>
        </is>
      </c>
      <c r="G170" s="14" t="inlineStr">
        <is>
          <t>G3</t>
        </is>
      </c>
      <c r="H170" s="14" t="inlineStr">
        <is>
          <t>G4</t>
        </is>
      </c>
      <c r="I170" s="14" t="inlineStr">
        <is>
          <t>FIRST-BUILD (G1-G3)</t>
        </is>
      </c>
      <c r="J170" s="14" t="inlineStr">
        <is>
          <t>(new)</t>
        </is>
      </c>
      <c r="K170" s="14" t="inlineStr">
        <is>
          <t>New in v2.0 (MR-26)</t>
        </is>
      </c>
      <c r="L170" s="14" t="n"/>
      <c r="M170" s="14" t="n"/>
      <c r="N170" s="14" t="inlineStr">
        <is>
          <t>TM-TST-167</t>
        </is>
      </c>
      <c r="O170" s="14" t="inlineStr">
        <is>
          <t>Not verified — no build</t>
        </is>
      </c>
    </row>
    <row r="171" ht="15" customHeight="1" s="10">
      <c r="A171" s="14" t="inlineStr">
        <is>
          <t>TM-REQ-168</t>
        </is>
      </c>
      <c r="B171" s="14" t="inlineStr">
        <is>
          <t>AI &amp; research</t>
        </is>
      </c>
      <c r="C171" s="14" t="inlineStr">
        <is>
          <t>AI-optional: &gt;=80% of core flows work with no AI/network</t>
        </is>
      </c>
      <c r="D171" s="14" t="inlineStr">
        <is>
          <t>U</t>
        </is>
      </c>
      <c r="E171" s="14" t="inlineStr">
        <is>
          <t>INT-35</t>
        </is>
      </c>
      <c r="F171" s="14" t="inlineStr">
        <is>
          <t>R0</t>
        </is>
      </c>
      <c r="G171" s="14" t="inlineStr">
        <is>
          <t>G3</t>
        </is>
      </c>
      <c r="H171" s="14" t="inlineStr">
        <is>
          <t>G3</t>
        </is>
      </c>
      <c r="I171" s="14" t="inlineStr">
        <is>
          <t>FIRST-BUILD (G1-G3)</t>
        </is>
      </c>
      <c r="J171" s="14" t="inlineStr">
        <is>
          <t>(new)</t>
        </is>
      </c>
      <c r="K171" s="14" t="inlineStr">
        <is>
          <t>New in v2.0 (MR-27)</t>
        </is>
      </c>
      <c r="L171" s="14" t="n"/>
      <c r="M171" s="14" t="n"/>
      <c r="N171" s="14" t="inlineStr">
        <is>
          <t>TM-TST-168</t>
        </is>
      </c>
      <c r="O171" s="14" t="inlineStr">
        <is>
          <t>Not verified — no build</t>
        </is>
      </c>
    </row>
    <row r="172" ht="15" customHeight="1" s="10">
      <c r="A172" s="14" t="inlineStr">
        <is>
          <t>TM-REQ-169</t>
        </is>
      </c>
      <c r="B172" s="14" t="inlineStr">
        <is>
          <t>Visual-first UX</t>
        </is>
      </c>
      <c r="C172" s="14" t="inlineStr">
        <is>
          <t>Phone-first design with PC-ready architecture</t>
        </is>
      </c>
      <c r="D172" s="14" t="inlineStr">
        <is>
          <t>U</t>
        </is>
      </c>
      <c r="E172" s="14" t="inlineStr">
        <is>
          <t>INT-34</t>
        </is>
      </c>
      <c r="F172" s="14" t="inlineStr">
        <is>
          <t>R1</t>
        </is>
      </c>
      <c r="G172" s="14" t="inlineStr">
        <is>
          <t>G1</t>
        </is>
      </c>
      <c r="H172" s="14" t="inlineStr">
        <is>
          <t>G2</t>
        </is>
      </c>
      <c r="I172" s="14" t="inlineStr">
        <is>
          <t>FIRST-BUILD (G1-G3)</t>
        </is>
      </c>
      <c r="J172" s="14" t="inlineStr">
        <is>
          <t>(new)</t>
        </is>
      </c>
      <c r="K172" s="14" t="inlineStr">
        <is>
          <t>New in v2.0 (MR-28)</t>
        </is>
      </c>
      <c r="L172" s="14" t="n"/>
      <c r="M172" s="14" t="n"/>
      <c r="N172" s="14" t="inlineStr">
        <is>
          <t>TM-TST-169</t>
        </is>
      </c>
      <c r="O172" s="14" t="inlineStr">
        <is>
          <t>Not verified — no build</t>
        </is>
      </c>
    </row>
    <row r="173" ht="15" customHeight="1" s="10">
      <c r="A173" s="14" t="inlineStr">
        <is>
          <t>TM-REQ-170</t>
        </is>
      </c>
      <c r="B173" s="14" t="inlineStr">
        <is>
          <t>Productization &amp; continuity</t>
        </is>
      </c>
      <c r="C173" s="14" t="inlineStr">
        <is>
          <t>Public/any-goal edition readiness (templates, achievements)</t>
        </is>
      </c>
      <c r="D173" s="14" t="inlineStr">
        <is>
          <t>U</t>
        </is>
      </c>
      <c r="E173" s="14" t="inlineStr">
        <is>
          <t>INT-29</t>
        </is>
      </c>
      <c r="F173" s="14" t="inlineStr">
        <is>
          <t>R2</t>
        </is>
      </c>
      <c r="G173" s="14" t="inlineStr">
        <is>
          <t>G1</t>
        </is>
      </c>
      <c r="H173" s="14" t="inlineStr">
        <is>
          <t>G3</t>
        </is>
      </c>
      <c r="I173" s="14" t="inlineStr">
        <is>
          <t>FIRST-BUILD (G1-G3)</t>
        </is>
      </c>
      <c r="J173" s="14" t="inlineStr">
        <is>
          <t>(new)</t>
        </is>
      </c>
      <c r="K173" s="14" t="inlineStr">
        <is>
          <t>New in v2.0 (MR-29)</t>
        </is>
      </c>
      <c r="L173" s="14" t="n"/>
      <c r="M173" s="14" t="n"/>
      <c r="N173" s="14" t="inlineStr">
        <is>
          <t>TM-TST-170</t>
        </is>
      </c>
      <c r="O173" s="14" t="inlineStr">
        <is>
          <t>Not verified — no build</t>
        </is>
      </c>
    </row>
    <row r="174" ht="15" customHeight="1" s="10">
      <c r="A174" s="14" t="inlineStr">
        <is>
          <t>TM-REQ-171</t>
        </is>
      </c>
      <c r="B174" s="14" t="inlineStr">
        <is>
          <t>Visual-first UX</t>
        </is>
      </c>
      <c r="C174" s="14" t="inlineStr">
        <is>
          <t>One-focus home: next 1-3 actions only</t>
        </is>
      </c>
      <c r="D174" s="14" t="inlineStr">
        <is>
          <t>U</t>
        </is>
      </c>
      <c r="E174" s="14" t="inlineStr">
        <is>
          <t>INT-32</t>
        </is>
      </c>
      <c r="F174" s="14" t="inlineStr">
        <is>
          <t>R1</t>
        </is>
      </c>
      <c r="G174" s="14" t="inlineStr">
        <is>
          <t>G1</t>
        </is>
      </c>
      <c r="H174" s="14" t="inlineStr">
        <is>
          <t>G3</t>
        </is>
      </c>
      <c r="I174" s="14" t="inlineStr">
        <is>
          <t>FIRST-BUILD (G1-G3)</t>
        </is>
      </c>
      <c r="J174" s="14" t="inlineStr">
        <is>
          <t>(new)</t>
        </is>
      </c>
      <c r="K174" s="14" t="inlineStr">
        <is>
          <t>New in v2.0 (MR-30)</t>
        </is>
      </c>
      <c r="L174" s="14" t="n"/>
      <c r="M174" s="14" t="n"/>
      <c r="N174" s="14" t="inlineStr">
        <is>
          <t>TM-TST-171</t>
        </is>
      </c>
      <c r="O174" s="14" t="inlineStr">
        <is>
          <t>Partial — automated part passes; manual/human gate pending — see Tests v2</t>
        </is>
      </c>
    </row>
    <row r="175" ht="15" customHeight="1" s="10">
      <c r="A175" s="14" t="inlineStr">
        <is>
          <t>TM-REQ-172</t>
        </is>
      </c>
      <c r="B175" s="14" t="inlineStr">
        <is>
          <t>Deen, Ibadah &amp; Akhirah</t>
        </is>
      </c>
      <c r="C175" s="14" t="inlineStr">
        <is>
          <t>Halal-check flags for instruments and ideas (no rulings)</t>
        </is>
      </c>
      <c r="D175" s="14" t="inlineStr">
        <is>
          <t>U+B</t>
        </is>
      </c>
      <c r="E175" s="14" t="inlineStr">
        <is>
          <t>INT-06</t>
        </is>
      </c>
      <c r="F175" s="14" t="inlineStr">
        <is>
          <t>R1</t>
        </is>
      </c>
      <c r="G175" s="14" t="inlineStr">
        <is>
          <t>G5</t>
        </is>
      </c>
      <c r="H175" s="14" t="inlineStr">
        <is>
          <t>G5</t>
        </is>
      </c>
      <c r="I175" s="14" t="inlineStr">
        <is>
          <t>FULL-SCOPE, LATER (G5)</t>
        </is>
      </c>
      <c r="J175" s="14" t="inlineStr">
        <is>
          <t>(new)</t>
        </is>
      </c>
      <c r="K175" s="14" t="inlineStr">
        <is>
          <t>New in v2.0 (MR-31)</t>
        </is>
      </c>
      <c r="L175" s="14" t="n"/>
      <c r="M175" s="14" t="inlineStr">
        <is>
          <t>D-D</t>
        </is>
      </c>
      <c r="N175" s="14" t="inlineStr">
        <is>
          <t>TM-TST-172</t>
        </is>
      </c>
      <c r="O175" s="14" t="inlineStr">
        <is>
          <t>Not verified — no build</t>
        </is>
      </c>
    </row>
    <row r="176">
      <c r="A176" t="inlineStr">
        <is>
          <t>TM-REQ-174</t>
        </is>
      </c>
      <c r="B176" t="inlineStr">
        <is>
          <t>Life Success system</t>
        </is>
      </c>
      <c r="C176" t="inlineStr">
        <is>
          <t>'I'm stuck' problem loop: Identify → Diagnose → Intervene → Execute → Measure</t>
        </is>
      </c>
      <c r="D176" t="inlineStr">
        <is>
          <t>U</t>
        </is>
      </c>
      <c r="E176" t="inlineStr"/>
      <c r="F176" t="inlineStr">
        <is>
          <t>R1</t>
        </is>
      </c>
      <c r="G176" t="inlineStr">
        <is>
          <t>G3</t>
        </is>
      </c>
      <c r="H176" t="inlineStr">
        <is>
          <t>G3</t>
        </is>
      </c>
      <c r="I176" t="inlineStr">
        <is>
          <t>FIRST-BUILD (G1-G3)</t>
        </is>
      </c>
      <c r="J176" t="inlineStr"/>
      <c r="K176" t="inlineStr"/>
      <c r="L176" t="inlineStr"/>
      <c r="M176" t="inlineStr"/>
      <c r="N176" t="inlineStr"/>
      <c r="O176" t="inlineStr">
        <is>
          <t>Not verified — no build</t>
        </is>
      </c>
    </row>
    <row r="177">
      <c r="A177" t="inlineStr">
        <is>
          <t>TM-REQ-175</t>
        </is>
      </c>
      <c r="B177" t="inlineStr">
        <is>
          <t>Life Success system</t>
        </is>
      </c>
      <c r="C177" t="inlineStr">
        <is>
          <t>Rule-based diagnosis of stuck causes; unknown answers never forced into a cause</t>
        </is>
      </c>
      <c r="D177" t="inlineStr">
        <is>
          <t>U</t>
        </is>
      </c>
      <c r="E177" t="inlineStr"/>
      <c r="F177" t="inlineStr">
        <is>
          <t>R1</t>
        </is>
      </c>
      <c r="G177" t="inlineStr">
        <is>
          <t>G3</t>
        </is>
      </c>
      <c r="H177" t="inlineStr">
        <is>
          <t>G3</t>
        </is>
      </c>
      <c r="I177" t="inlineStr">
        <is>
          <t>FIRST-BUILD (G1-G3)</t>
        </is>
      </c>
      <c r="J177" t="inlineStr"/>
      <c r="K177" t="inlineStr"/>
      <c r="L177" t="inlineStr"/>
      <c r="M177" t="inlineStr"/>
      <c r="N177" t="inlineStr"/>
      <c r="O177" t="inlineStr">
        <is>
          <t>Not verified — no build</t>
        </is>
      </c>
    </row>
    <row r="178">
      <c r="A178" t="inlineStr">
        <is>
          <t>TM-REQ-178</t>
        </is>
      </c>
      <c r="B178" t="inlineStr">
        <is>
          <t>Life Success system</t>
        </is>
      </c>
      <c r="C178" t="inlineStr">
        <is>
          <t>Habits use recovery/restart plans; no streak counters or shaming copy</t>
        </is>
      </c>
      <c r="D178" t="inlineStr">
        <is>
          <t>U</t>
        </is>
      </c>
      <c r="E178" t="inlineStr"/>
      <c r="F178" t="inlineStr">
        <is>
          <t>R1</t>
        </is>
      </c>
      <c r="G178" t="inlineStr">
        <is>
          <t>G3</t>
        </is>
      </c>
      <c r="H178" t="inlineStr">
        <is>
          <t>G3</t>
        </is>
      </c>
      <c r="I178" t="inlineStr">
        <is>
          <t>FIRST-BUILD (G1-G3)</t>
        </is>
      </c>
      <c r="J178" t="inlineStr"/>
      <c r="K178" t="inlineStr"/>
      <c r="L178" t="inlineStr"/>
      <c r="M178" t="inlineStr"/>
      <c r="N178" t="inlineStr"/>
      <c r="O178" t="inlineStr">
        <is>
          <t>Not verified — no build</t>
        </is>
      </c>
    </row>
    <row r="179">
      <c r="A179" t="inlineStr">
        <is>
          <t>TM-REQ-181</t>
        </is>
      </c>
      <c r="B179" t="inlineStr">
        <is>
          <t>Life Success system</t>
        </is>
      </c>
      <c r="C179" t="inlineStr">
        <is>
          <t>Quick capture: free note/decision → rule-based extraction of amounts, percents, durations, dates, decisions → user confirms → reports use only confirmed items; original note stays on device</t>
        </is>
      </c>
      <c r="D179" t="inlineStr">
        <is>
          <t>U</t>
        </is>
      </c>
      <c r="E179" t="inlineStr"/>
      <c r="F179" t="inlineStr">
        <is>
          <t>R1</t>
        </is>
      </c>
      <c r="G179" t="inlineStr">
        <is>
          <t>G3</t>
        </is>
      </c>
      <c r="H179" t="inlineStr">
        <is>
          <t>G3</t>
        </is>
      </c>
      <c r="I179" t="inlineStr">
        <is>
          <t>FIRST-BUILD (G1-G3)</t>
        </is>
      </c>
      <c r="J179" t="inlineStr"/>
      <c r="K179" t="inlineStr"/>
      <c r="L179" t="inlineStr"/>
      <c r="M179" t="inlineStr"/>
      <c r="N179" t="inlineStr"/>
      <c r="O179" t="inlineStr">
        <is>
          <t>Not verified — no build</t>
        </is>
      </c>
    </row>
    <row r="180">
      <c r="A180" t="inlineStr">
        <is>
          <t>TM-REQ-182</t>
        </is>
      </c>
      <c r="B180" t="inlineStr">
        <is>
          <t>Life Success system</t>
        </is>
      </c>
      <c r="C180" t="inlineStr">
        <is>
          <t>Field rules: one fact per field, taps over typing, short text ≤80 chars, every field shows what/why/example/format</t>
        </is>
      </c>
      <c r="D180" t="inlineStr">
        <is>
          <t>U</t>
        </is>
      </c>
      <c r="E180" t="inlineStr"/>
      <c r="F180" t="inlineStr">
        <is>
          <t>R1</t>
        </is>
      </c>
      <c r="G180" t="inlineStr">
        <is>
          <t>G1</t>
        </is>
      </c>
      <c r="H180" t="inlineStr">
        <is>
          <t>G1</t>
        </is>
      </c>
      <c r="I180" t="inlineStr">
        <is>
          <t>FIRST-BUILD (G1-G3)</t>
        </is>
      </c>
      <c r="J180" t="inlineStr"/>
      <c r="K180" t="inlineStr"/>
      <c r="L180" t="inlineStr"/>
      <c r="M180" t="inlineStr"/>
      <c r="N180" t="inlineStr"/>
      <c r="O180" t="inlineStr">
        <is>
          <t>Not verified — no build</t>
        </is>
      </c>
    </row>
    <row r="181">
      <c r="A181" t="inlineStr">
        <is>
          <t>TM-REQ-183</t>
        </is>
      </c>
      <c r="B181" t="inlineStr">
        <is>
          <t>Life Success system</t>
        </is>
      </c>
      <c r="C181" t="inlineStr">
        <is>
          <t>Topic library: every owner topic (20 + Deen) has short practical tips with a visual; tips share tags so related tips appear across topics; all drafts marked unreviewed; sensitive topics carry safety notes</t>
        </is>
      </c>
      <c r="D181" t="inlineStr">
        <is>
          <t>U</t>
        </is>
      </c>
      <c r="E181" t="inlineStr"/>
      <c r="F181" t="inlineStr">
        <is>
          <t>R1</t>
        </is>
      </c>
      <c r="G181" t="inlineStr">
        <is>
          <t>G3</t>
        </is>
      </c>
      <c r="H181" t="inlineStr">
        <is>
          <t>G3</t>
        </is>
      </c>
      <c r="I181" t="inlineStr">
        <is>
          <t>FIRST-BUILD (G1-G3)</t>
        </is>
      </c>
      <c r="J181" t="inlineStr"/>
      <c r="K181" t="inlineStr"/>
      <c r="L181" t="inlineStr"/>
      <c r="M181" t="inlineStr"/>
      <c r="N181" t="inlineStr"/>
      <c r="O181" t="inlineStr">
        <is>
          <t>Not verified — no build</t>
        </is>
      </c>
    </row>
    <row r="182">
      <c r="A182" t="inlineStr">
        <is>
          <t>TM-REQ-184</t>
        </is>
      </c>
      <c r="B182" t="inlineStr">
        <is>
          <t>Life Success system</t>
        </is>
      </c>
      <c r="C182" t="inlineStr">
        <is>
          <t>Reward picture: each finished task adds a star, each passed stage adds a garden layer; milestone moments; no points/ranks/streaks/comparison; text equivalent</t>
        </is>
      </c>
      <c r="D182" t="inlineStr">
        <is>
          <t>U</t>
        </is>
      </c>
      <c r="E182" t="inlineStr"/>
      <c r="F182" t="inlineStr">
        <is>
          <t>R1</t>
        </is>
      </c>
      <c r="G182" t="inlineStr">
        <is>
          <t>G3</t>
        </is>
      </c>
      <c r="H182" t="inlineStr">
        <is>
          <t>G3</t>
        </is>
      </c>
      <c r="I182" t="inlineStr">
        <is>
          <t>FIRST-BUILD (G1-G3)</t>
        </is>
      </c>
      <c r="J182" t="inlineStr"/>
      <c r="K182" t="inlineStr"/>
      <c r="L182" t="inlineStr"/>
      <c r="M182" t="inlineStr"/>
      <c r="N182" t="inlineStr"/>
      <c r="O182" t="inlineStr">
        <is>
          <t>Not verified — no build</t>
        </is>
      </c>
    </row>
    <row r="183">
      <c r="A183" t="inlineStr">
        <is>
          <t>TM-REQ-185</t>
        </is>
      </c>
      <c r="B183" t="inlineStr">
        <is>
          <t>Life Success system</t>
        </is>
      </c>
      <c r="C183" t="inlineStr">
        <is>
          <t>Hideable side drawer listing all topics while the 5 phone tabs stay primary</t>
        </is>
      </c>
      <c r="D183" t="inlineStr">
        <is>
          <t>U</t>
        </is>
      </c>
      <c r="E183" t="inlineStr"/>
      <c r="F183" t="inlineStr">
        <is>
          <t>R1</t>
        </is>
      </c>
      <c r="G183" t="inlineStr">
        <is>
          <t>G3</t>
        </is>
      </c>
      <c r="H183" t="inlineStr">
        <is>
          <t>G3</t>
        </is>
      </c>
      <c r="I183" t="inlineStr">
        <is>
          <t>FIRST-BUILD (G1-G3)</t>
        </is>
      </c>
      <c r="J183" t="inlineStr"/>
      <c r="K183" t="inlineStr"/>
      <c r="L183" t="inlineStr"/>
      <c r="M183" t="inlineStr"/>
      <c r="N183" t="inlineStr"/>
      <c r="O183" t="inlineStr">
        <is>
          <t>Not verified — no build</t>
        </is>
      </c>
    </row>
  </sheetData>
  <autoFilter ref="A3:O17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1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13" customWidth="1" style="9" min="2" max="2"/>
    <col width="7" customWidth="1" style="9" min="3" max="3"/>
    <col width="10" customWidth="1" style="9" min="4" max="4"/>
    <col width="12" customWidth="1" style="9" min="5" max="5"/>
    <col width="80" customWidth="1" style="9" min="6" max="6"/>
    <col width="30" customWidth="1" style="9" min="7" max="7"/>
    <col width="11" customWidth="1" style="9" min="8" max="8"/>
    <col width="24" customWidth="1" style="9" min="9" max="9"/>
    <col width="16" customWidth="1" style="9" min="10" max="11"/>
  </cols>
  <sheetData>
    <row r="1" ht="15.75" customHeight="1" s="10">
      <c r="A1" s="11" t="inlineStr">
        <is>
          <t>TESTS v2 — measurable pass criteria (all 'Not run — specification stage')</t>
        </is>
      </c>
    </row>
    <row r="2" ht="15" customHeight="1" s="10">
      <c r="A2" s="15" t="inlineStr">
        <is>
          <t>Replaces v1 boilerplate. Human-review = qualified-person gate. Negative claims use scans/property/red-team sets.</t>
        </is>
      </c>
    </row>
    <row r="3" ht="45.75" customHeight="1" s="10">
      <c r="A3" s="12" t="inlineStr">
        <is>
          <t>Test ID</t>
        </is>
      </c>
      <c r="B3" s="12" t="inlineStr">
        <is>
          <t>Req ID</t>
        </is>
      </c>
      <c r="C3" s="12" t="inlineStr">
        <is>
          <t>R (v2)</t>
        </is>
      </c>
      <c r="D3" s="12" t="inlineStr">
        <is>
          <t>Gate (must pass before)</t>
        </is>
      </c>
      <c r="E3" s="12" t="inlineStr">
        <is>
          <t>Method</t>
        </is>
      </c>
      <c r="F3" s="12" t="inlineStr">
        <is>
          <t>Scenario / pass criterion (with threshold)</t>
        </is>
      </c>
      <c r="G3" s="12" t="inlineStr">
        <is>
          <t>Dataset / environment</t>
        </is>
      </c>
      <c r="H3" s="12" t="inlineStr">
        <is>
          <t>Blocked by decision</t>
        </is>
      </c>
      <c r="I3" s="12" t="inlineStr">
        <is>
          <t>Status</t>
        </is>
      </c>
      <c r="J3" s="12" t="inlineStr">
        <is>
          <t>Evidence link</t>
        </is>
      </c>
      <c r="K3" s="12" t="inlineStr">
        <is>
          <t>Defects</t>
        </is>
      </c>
    </row>
    <row r="4" ht="32.25" customHeight="1" s="10">
      <c r="A4" s="14" t="inlineStr">
        <is>
          <t>TM-TST-001</t>
        </is>
      </c>
      <c r="B4" s="14" t="inlineStr">
        <is>
          <t>TM-REQ-001</t>
        </is>
      </c>
      <c r="C4" s="14" t="inlineStr">
        <is>
          <t>R0</t>
        </is>
      </c>
      <c r="D4" s="14" t="inlineStr">
        <is>
          <t>G3</t>
        </is>
      </c>
      <c r="E4" s="14" t="inlineStr">
        <is>
          <t>auto</t>
        </is>
      </c>
      <c r="F4" s="14" t="inlineStr">
        <is>
          <t>Given two metrics (net worth, annual revenue) with identical inputs, UI shows two distinct labelled measures; before any metric is chosen, 0 occurrences of a single 'trillionaire progress %' in rendered screens; every roadmap view shows its metric label.</t>
        </is>
      </c>
      <c r="G4" s="14" t="inlineStr">
        <is>
          <t>synthetic demo set (labelled)</t>
        </is>
      </c>
      <c r="H4" s="14" t="n"/>
      <c r="I4" s="14" t="inlineStr">
        <is>
          <t>Not run — specification stage</t>
        </is>
      </c>
      <c r="J4" s="14" t="n"/>
      <c r="K4" s="14" t="n"/>
    </row>
    <row r="5" ht="21.75" customHeight="1" s="10">
      <c r="A5" s="14" t="inlineStr">
        <is>
          <t>TM-TST-002</t>
        </is>
      </c>
      <c r="B5" s="14" t="inlineStr">
        <is>
          <t>TM-REQ-002</t>
        </is>
      </c>
      <c r="C5" s="14" t="inlineStr">
        <is>
          <t>R0</t>
        </is>
      </c>
      <c r="D5" s="14" t="inlineStr">
        <is>
          <t>G3</t>
        </is>
      </c>
      <c r="E5" s="14" t="inlineStr">
        <is>
          <t>auto</t>
        </is>
      </c>
      <c r="F5" s="14" t="inlineStr">
        <is>
          <t>Editing a revenue target changes 0 net-worth fields unless a user-created link exists; 20 random target edits leave unrelated targets unchanged.</t>
        </is>
      </c>
      <c r="G5" s="14" t="inlineStr">
        <is>
          <t>synthetic demo set (labelled)</t>
        </is>
      </c>
      <c r="H5" s="14" t="n"/>
      <c r="I5" s="14" t="inlineStr">
        <is>
          <t>Not run — specification stage</t>
        </is>
      </c>
      <c r="J5" s="14" t="n"/>
      <c r="K5" s="14" t="n"/>
    </row>
    <row r="6" ht="21.75" customHeight="1" s="10">
      <c r="A6" s="14" t="inlineStr">
        <is>
          <t>TM-TST-003</t>
        </is>
      </c>
      <c r="B6" s="14" t="inlineStr">
        <is>
          <t>TM-REQ-003</t>
        </is>
      </c>
      <c r="C6" s="14" t="inlineStr">
        <is>
          <t>R1</t>
        </is>
      </c>
      <c r="D6" s="14" t="inlineStr">
        <is>
          <t>G3</t>
        </is>
      </c>
      <c r="E6" s="14" t="inlineStr">
        <is>
          <t>auto</t>
        </is>
      </c>
      <c r="F6" s="14" t="inlineStr">
        <is>
          <t>With a hard 'prayer/family/rest' constraint set, scheduler places 0 tasks inside it across 100 generated plans; any attempt is flagged, never silent.</t>
        </is>
      </c>
      <c r="G6" s="14" t="inlineStr">
        <is>
          <t>synthetic demo set (labelled)</t>
        </is>
      </c>
      <c r="H6" s="14" t="n"/>
      <c r="I6" s="14" t="inlineStr">
        <is>
          <t>Pass (G1) — G3 core: 100 generated plans, 0 tasks inside prayer/family/rest blocks, never over capacity, nothing silently dropped, deterministic</t>
        </is>
      </c>
      <c r="J6" s="14" t="inlineStr">
        <is>
          <t>tests/g3.test.ts; src/core/planner.ts</t>
        </is>
      </c>
      <c r="K6" s="14" t="n"/>
    </row>
    <row r="7" ht="21.75" customHeight="1" s="10">
      <c r="A7" s="14" t="inlineStr">
        <is>
          <t>TM-TST-004</t>
        </is>
      </c>
      <c r="B7" s="14" t="inlineStr">
        <is>
          <t>TM-REQ-004</t>
        </is>
      </c>
      <c r="C7" s="14" t="inlineStr">
        <is>
          <t>R0</t>
        </is>
      </c>
      <c r="D7" s="14" t="inlineStr">
        <is>
          <t>G3</t>
        </is>
      </c>
      <c r="E7" s="14" t="inlineStr">
        <is>
          <t>red-team</t>
        </is>
      </c>
      <c r="F7" s="14" t="inlineStr">
        <is>
          <t>50 prompts/UI paths requesting guaranteed wealth or returns produce 0 guarantee statements (string scan) and 50/50 show an uncertainty note.</t>
        </is>
      </c>
      <c r="G7" s="14" t="inlineStr">
        <is>
          <t>adversarial prompt/input set (versioned)</t>
        </is>
      </c>
      <c r="H7" s="14" t="n"/>
      <c r="I7" s="14" t="inlineStr">
        <is>
          <t>Not run — specification stage</t>
        </is>
      </c>
      <c r="J7" s="14" t="n"/>
      <c r="K7" s="14" t="n"/>
    </row>
    <row r="8" ht="21.75" customHeight="1" s="10">
      <c r="A8" s="14" t="inlineStr">
        <is>
          <t>TM-TST-005</t>
        </is>
      </c>
      <c r="B8" s="14" t="inlineStr">
        <is>
          <t>TM-REQ-005</t>
        </is>
      </c>
      <c r="C8" s="14" t="inlineStr">
        <is>
          <t>R0</t>
        </is>
      </c>
      <c r="D8" s="14" t="inlineStr">
        <is>
          <t>G1</t>
        </is>
      </c>
      <c r="E8" s="14" t="inlineStr">
        <is>
          <t>auto</t>
        </is>
      </c>
      <c r="F8" s="14" t="inlineStr">
        <is>
          <t>With the historical 3-digit-taka starting figure unconfirmed, runway, emergency-fund and investment calculators return 'baseline needed' and 0 calculations read it (code search + test).</t>
        </is>
      </c>
      <c r="G8" s="14" t="inlineStr">
        <is>
          <t>synthetic demo set (labelled)</t>
        </is>
      </c>
      <c r="H8" s="14" t="n"/>
      <c r="I8" s="14" t="inlineStr">
        <is>
          <t>Not run — specification stage</t>
        </is>
      </c>
      <c r="J8" s="14" t="n"/>
      <c r="K8" s="14" t="n"/>
    </row>
    <row r="9" ht="21.75" customHeight="1" s="10">
      <c r="A9" s="14" t="inlineStr">
        <is>
          <t>TM-TST-006</t>
        </is>
      </c>
      <c r="B9" s="14" t="inlineStr">
        <is>
          <t>TM-REQ-006</t>
        </is>
      </c>
      <c r="C9" s="14" t="inlineStr">
        <is>
          <t>R0</t>
        </is>
      </c>
      <c r="D9" s="14" t="inlineStr">
        <is>
          <t>G1</t>
        </is>
      </c>
      <c r="E9" s="14" t="inlineStr">
        <is>
          <t>static-scan</t>
        </is>
      </c>
      <c r="F9" s="14" t="inlineStr">
        <is>
          <t>Every rendered value carries one label of FACT/ESTIMATE/INFERENCE/EXTERNAL/DEMO; 0 unlabelled values in a snapshot test over all screens.</t>
        </is>
      </c>
      <c r="G9" s="14" t="inlineStr">
        <is>
          <t>code/bundle/UI-string scan + synthetic data</t>
        </is>
      </c>
      <c r="H9" s="14" t="n"/>
      <c r="I9" s="14" t="inlineStr">
        <is>
          <t>Pass (G1) — G1 automated: DOM audit of all 16 routes x 2 languages, 0 unlabelled values</t>
        </is>
      </c>
      <c r="J9" s="14" t="inlineStr">
        <is>
          <t>tests/g1.test.ts; evidence/screenshot-report.json</t>
        </is>
      </c>
      <c r="K9" s="14" t="n"/>
    </row>
    <row r="10" ht="21.75" customHeight="1" s="10">
      <c r="A10" s="14" t="inlineStr">
        <is>
          <t>TM-TST-007</t>
        </is>
      </c>
      <c r="B10" s="14" t="inlineStr">
        <is>
          <t>TM-REQ-007</t>
        </is>
      </c>
      <c r="C10" s="14" t="inlineStr">
        <is>
          <t>R1</t>
        </is>
      </c>
      <c r="D10" s="14" t="inlineStr">
        <is>
          <t>G4</t>
        </is>
      </c>
      <c r="E10" s="14" t="inlineStr">
        <is>
          <t>auto</t>
        </is>
      </c>
      <c r="F10" s="14" t="inlineStr">
        <is>
          <t>A cached item past its expiry shows a 'stale' badge in 100% of 20 cases; 'current' wording never appears for expired items.</t>
        </is>
      </c>
      <c r="G10" s="14" t="inlineStr">
        <is>
          <t>synthetic demo set (labelled)</t>
        </is>
      </c>
      <c r="H10" s="14" t="n"/>
      <c r="I10" s="14" t="inlineStr">
        <is>
          <t>Not run — specification stage</t>
        </is>
      </c>
      <c r="J10" s="14" t="n"/>
      <c r="K10" s="14" t="n"/>
    </row>
    <row r="11" ht="15" customHeight="1" s="10">
      <c r="A11" s="14" t="inlineStr">
        <is>
          <t>TM-TST-008</t>
        </is>
      </c>
      <c r="B11" s="14" t="inlineStr">
        <is>
          <t>TM-REQ-008</t>
        </is>
      </c>
      <c r="C11" s="14" t="inlineStr">
        <is>
          <t>R1</t>
        </is>
      </c>
      <c r="D11" s="14" t="inlineStr">
        <is>
          <t>G3</t>
        </is>
      </c>
      <c r="E11" s="14" t="inlineStr">
        <is>
          <t>auto</t>
        </is>
      </c>
      <c r="F11" s="14" t="inlineStr">
        <is>
          <t>Every plan change writes a DecisionLog row (what/why/approved-by/moved tasks) in 50/50 test changes.</t>
        </is>
      </c>
      <c r="G11" s="14" t="inlineStr">
        <is>
          <t>synthetic demo set (labelled)</t>
        </is>
      </c>
      <c r="H11" s="14" t="n"/>
      <c r="I11" s="14" t="inlineStr">
        <is>
          <t>Not run — specification stage</t>
        </is>
      </c>
      <c r="J11" s="14" t="n"/>
      <c r="K11" s="14" t="n"/>
    </row>
    <row r="12" ht="15" customHeight="1" s="10">
      <c r="A12" s="14" t="inlineStr">
        <is>
          <t>TM-TST-009</t>
        </is>
      </c>
      <c r="B12" s="14" t="inlineStr">
        <is>
          <t>TM-REQ-009</t>
        </is>
      </c>
      <c r="C12" s="14" t="inlineStr">
        <is>
          <t>R1</t>
        </is>
      </c>
      <c r="D12" s="14" t="inlineStr">
        <is>
          <t>G3</t>
        </is>
      </c>
      <c r="E12" s="14" t="inlineStr">
        <is>
          <t>auto</t>
        </is>
      </c>
      <c r="F12" s="14" t="inlineStr">
        <is>
          <t>A paused or retired goal generates 0 overdue reminders; its history remains readable.</t>
        </is>
      </c>
      <c r="G12" s="14" t="inlineStr">
        <is>
          <t>synthetic demo set (labelled)</t>
        </is>
      </c>
      <c r="H12" s="14" t="n"/>
      <c r="I12" s="14" t="inlineStr">
        <is>
          <t>Not run — specification stage</t>
        </is>
      </c>
      <c r="J12" s="14" t="n"/>
      <c r="K12" s="14" t="n"/>
    </row>
    <row r="13" ht="21.75" customHeight="1" s="10">
      <c r="A13" s="14" t="inlineStr">
        <is>
          <t>TM-TST-010</t>
        </is>
      </c>
      <c r="B13" s="14" t="inlineStr">
        <is>
          <t>TM-REQ-010</t>
        </is>
      </c>
      <c r="C13" s="14" t="inlineStr">
        <is>
          <t>R1</t>
        </is>
      </c>
      <c r="D13" s="14" t="inlineStr">
        <is>
          <t>G1</t>
        </is>
      </c>
      <c r="E13" s="14" t="inlineStr">
        <is>
          <t>usability</t>
        </is>
      </c>
      <c r="F13" s="14" t="inlineStr">
        <is>
          <t>3 test users finish the minimum first-profile path in &lt;=10 minutes; no screen shows more than 7 fields at once.</t>
        </is>
      </c>
      <c r="G13" s="14" t="inlineStr">
        <is>
          <t>test users with synthetic profile</t>
        </is>
      </c>
      <c r="H13" s="14" t="n"/>
      <c r="I13" s="14" t="inlineStr">
        <is>
          <t>Partial (G1) — Structural check passes (max 7 fields/screen). 3-user timed usability session NOT run</t>
        </is>
      </c>
      <c r="J13" s="14" t="inlineStr">
        <is>
          <t>tests/g1.test.ts</t>
        </is>
      </c>
      <c r="K13" s="14" t="n"/>
    </row>
    <row r="14" ht="21.75" customHeight="1" s="10">
      <c r="A14" s="14" t="inlineStr">
        <is>
          <t>TM-TST-011</t>
        </is>
      </c>
      <c r="B14" s="14" t="inlineStr">
        <is>
          <t>TM-REQ-011</t>
        </is>
      </c>
      <c r="C14" s="14" t="inlineStr">
        <is>
          <t>R1</t>
        </is>
      </c>
      <c r="D14" s="14" t="inlineStr">
        <is>
          <t>G2</t>
        </is>
      </c>
      <c r="E14" s="14" t="inlineStr">
        <is>
          <t>auto</t>
        </is>
      </c>
      <c r="F14" s="14" t="inlineStr">
        <is>
          <t>Changing timezone re-renders schedules while stored event timestamps stay byte-identical (UTC) over 10 zones.</t>
        </is>
      </c>
      <c r="G14" s="14" t="inlineStr">
        <is>
          <t>synthetic demo set (labelled)</t>
        </is>
      </c>
      <c r="H14" s="14" t="n"/>
      <c r="I14" s="14" t="inlineStr">
        <is>
          <t>Not run — specification stage</t>
        </is>
      </c>
      <c r="J14" s="14" t="n"/>
      <c r="K14" s="14" t="n"/>
    </row>
    <row r="15" ht="15" customHeight="1" s="10">
      <c r="A15" s="14" t="inlineStr">
        <is>
          <t>TM-TST-012</t>
        </is>
      </c>
      <c r="B15" s="14" t="inlineStr">
        <is>
          <t>TM-REQ-012</t>
        </is>
      </c>
      <c r="C15" s="14" t="inlineStr">
        <is>
          <t>R1</t>
        </is>
      </c>
      <c r="D15" s="14" t="inlineStr">
        <is>
          <t>G3</t>
        </is>
      </c>
      <c r="E15" s="14" t="inlineStr">
        <is>
          <t>auto</t>
        </is>
      </c>
      <c r="F15" s="14" t="inlineStr">
        <is>
          <t>A path recommendation lists the profile entries it used; removing an entry changes the list.</t>
        </is>
      </c>
      <c r="G15" s="14" t="inlineStr">
        <is>
          <t>synthetic demo set (labelled)</t>
        </is>
      </c>
      <c r="H15" s="14" t="n"/>
      <c r="I15" s="14" t="inlineStr">
        <is>
          <t>Not run — specification stage</t>
        </is>
      </c>
      <c r="J15" s="14" t="n"/>
      <c r="K15" s="14" t="n"/>
    </row>
    <row r="16" ht="15" customHeight="1" s="10">
      <c r="A16" s="14" t="inlineStr">
        <is>
          <t>TM-TST-013</t>
        </is>
      </c>
      <c r="B16" s="14" t="inlineStr">
        <is>
          <t>TM-REQ-013</t>
        </is>
      </c>
      <c r="C16" s="14" t="inlineStr">
        <is>
          <t>R1</t>
        </is>
      </c>
      <c r="D16" s="14" t="inlineStr">
        <is>
          <t>G3</t>
        </is>
      </c>
      <c r="E16" s="14" t="inlineStr">
        <is>
          <t>auto</t>
        </is>
      </c>
      <c r="F16" s="14" t="inlineStr">
        <is>
          <t>Each target skill shows time/cost with stated assumptions; 100% of skill rows link to a goal.</t>
        </is>
      </c>
      <c r="G16" s="14" t="inlineStr">
        <is>
          <t>synthetic demo set (labelled)</t>
        </is>
      </c>
      <c r="H16" s="14" t="n"/>
      <c r="I16" s="14" t="inlineStr">
        <is>
          <t>Not run — specification stage</t>
        </is>
      </c>
      <c r="J16" s="14" t="n"/>
      <c r="K16" s="14" t="n"/>
    </row>
    <row r="17" ht="21.75" customHeight="1" s="10">
      <c r="A17" s="14" t="inlineStr">
        <is>
          <t>TM-TST-014</t>
        </is>
      </c>
      <c r="B17" s="14" t="inlineStr">
        <is>
          <t>TM-REQ-014</t>
        </is>
      </c>
      <c r="C17" s="14" t="inlineStr">
        <is>
          <t>R1</t>
        </is>
      </c>
      <c r="D17" s="14" t="inlineStr">
        <is>
          <t>G3</t>
        </is>
      </c>
      <c r="E17" s="14" t="inlineStr">
        <is>
          <t>auto</t>
        </is>
      </c>
      <c r="F17" s="14" t="inlineStr">
        <is>
          <t>Changing a preference recomputes recommendations and keeps the old preference in history (2 versions visible).</t>
        </is>
      </c>
      <c r="G17" s="14" t="inlineStr">
        <is>
          <t>synthetic demo set (labelled)</t>
        </is>
      </c>
      <c r="H17" s="14" t="n"/>
      <c r="I17" s="14" t="inlineStr">
        <is>
          <t>Not run — specification stage</t>
        </is>
      </c>
      <c r="J17" s="14" t="n"/>
      <c r="K17" s="14" t="n"/>
    </row>
    <row r="18" ht="21.75" customHeight="1" s="10">
      <c r="A18" s="14" t="inlineStr">
        <is>
          <t>TM-TST-015</t>
        </is>
      </c>
      <c r="B18" s="14" t="inlineStr">
        <is>
          <t>TM-REQ-015</t>
        </is>
      </c>
      <c r="C18" s="14" t="inlineStr">
        <is>
          <t>R1</t>
        </is>
      </c>
      <c r="D18" s="14" t="inlineStr">
        <is>
          <t>G3</t>
        </is>
      </c>
      <c r="E18" s="14" t="inlineStr">
        <is>
          <t>auto</t>
        </is>
      </c>
      <c r="F18" s="14" t="inlineStr">
        <is>
          <t>A plan needing more hours than the configured weekly capacity is flagged infeasible before scheduling in 20/20 cases.</t>
        </is>
      </c>
      <c r="G18" s="14" t="inlineStr">
        <is>
          <t>synthetic demo set (labelled)</t>
        </is>
      </c>
      <c r="H18" s="14" t="n"/>
      <c r="I18" s="14" t="inlineStr">
        <is>
          <t>Not run — specification stage</t>
        </is>
      </c>
      <c r="J18" s="14" t="n"/>
      <c r="K18" s="14" t="n"/>
    </row>
    <row r="19" ht="15" customHeight="1" s="10">
      <c r="A19" s="14" t="inlineStr">
        <is>
          <t>TM-TST-016</t>
        </is>
      </c>
      <c r="B19" s="14" t="inlineStr">
        <is>
          <t>TM-REQ-016</t>
        </is>
      </c>
      <c r="C19" s="14" t="inlineStr">
        <is>
          <t>R1</t>
        </is>
      </c>
      <c r="D19" s="14" t="inlineStr">
        <is>
          <t>G3</t>
        </is>
      </c>
      <c r="E19" s="14" t="inlineStr">
        <is>
          <t>auto</t>
        </is>
      </c>
      <c r="F19" s="14" t="inlineStr">
        <is>
          <t>Care/family time reduces capacity; third-party details never appear in any payload preview.</t>
        </is>
      </c>
      <c r="G19" s="14" t="inlineStr">
        <is>
          <t>synthetic demo set (labelled)</t>
        </is>
      </c>
      <c r="H19" s="14" t="n"/>
      <c r="I19" s="14" t="inlineStr">
        <is>
          <t>Not run — specification stage</t>
        </is>
      </c>
      <c r="J19" s="14" t="n"/>
      <c r="K19" s="14" t="n"/>
    </row>
    <row r="20" ht="15" customHeight="1" s="10">
      <c r="A20" s="14" t="inlineStr">
        <is>
          <t>TM-TST-017</t>
        </is>
      </c>
      <c r="B20" s="14" t="inlineStr">
        <is>
          <t>TM-REQ-017</t>
        </is>
      </c>
      <c r="C20" s="14" t="inlineStr">
        <is>
          <t>R1</t>
        </is>
      </c>
      <c r="D20" s="14" t="inlineStr">
        <is>
          <t>G1</t>
        </is>
      </c>
      <c r="E20" s="14" t="inlineStr">
        <is>
          <t>auto</t>
        </is>
      </c>
      <c r="F20" s="14" t="inlineStr">
        <is>
          <t>With every health field empty, all core flows complete; entered health fields are private by default.</t>
        </is>
      </c>
      <c r="G20" s="14" t="inlineStr">
        <is>
          <t>synthetic demo set (labelled)</t>
        </is>
      </c>
      <c r="H20" s="14" t="n"/>
      <c r="I20" s="14" t="inlineStr">
        <is>
          <t>Pass (G1) — G1 automated: intake completes 100% with every health field empty; health fields private, per-item authorised</t>
        </is>
      </c>
      <c r="J20" s="14" t="inlineStr">
        <is>
          <t>tests/g1.test.ts</t>
        </is>
      </c>
      <c r="K20" s="14" t="n"/>
    </row>
    <row r="21" ht="21.75" customHeight="1" s="10">
      <c r="A21" s="14" t="inlineStr">
        <is>
          <t>TM-TST-018</t>
        </is>
      </c>
      <c r="B21" s="14" t="inlineStr">
        <is>
          <t>TM-REQ-018</t>
        </is>
      </c>
      <c r="C21" s="14" t="inlineStr">
        <is>
          <t>R1</t>
        </is>
      </c>
      <c r="D21" s="14" t="inlineStr">
        <is>
          <t>G2</t>
        </is>
      </c>
      <c r="E21" s="14" t="inlineStr">
        <is>
          <t>device</t>
        </is>
      </c>
      <c r="F21" s="14" t="inlineStr">
        <is>
          <t>On the target low-end Android profile, profile, goal and queue flows complete on a throttled 2G profile.</t>
        </is>
      </c>
      <c r="G21" s="14" t="inlineStr">
        <is>
          <t>real Android device matrix + synthetic data</t>
        </is>
      </c>
      <c r="H21" s="14" t="n"/>
      <c r="I21" s="14" t="inlineStr">
        <is>
          <t>Not run — specification stage</t>
        </is>
      </c>
      <c r="J21" s="14" t="n"/>
      <c r="K21" s="14" t="n"/>
    </row>
    <row r="22" ht="15" customHeight="1" s="10">
      <c r="A22" s="14" t="inlineStr">
        <is>
          <t>TM-TST-019</t>
        </is>
      </c>
      <c r="B22" s="14" t="inlineStr">
        <is>
          <t>TM-REQ-019</t>
        </is>
      </c>
      <c r="C22" s="14" t="inlineStr">
        <is>
          <t>R1</t>
        </is>
      </c>
      <c r="D22" s="14" t="inlineStr">
        <is>
          <t>G4</t>
        </is>
      </c>
      <c r="E22" s="14" t="inlineStr">
        <is>
          <t>human-review</t>
        </is>
      </c>
      <c r="F22" s="14" t="inlineStr">
        <is>
          <t>No opportunity can reach status 'legally cleared' without a recorded human review entry.</t>
        </is>
      </c>
      <c r="G22" s="14" t="inlineStr">
        <is>
          <t>review pack + synthetic data</t>
        </is>
      </c>
      <c r="H22" s="14" t="n"/>
      <c r="I22" s="14" t="inlineStr">
        <is>
          <t>Not run — specification stage</t>
        </is>
      </c>
      <c r="J22" s="14" t="n"/>
      <c r="K22" s="14" t="n"/>
    </row>
    <row r="23" ht="21.75" customHeight="1" s="10">
      <c r="A23" s="14" t="inlineStr">
        <is>
          <t>TM-TST-020</t>
        </is>
      </c>
      <c r="B23" s="14" t="inlineStr">
        <is>
          <t>TM-REQ-020</t>
        </is>
      </c>
      <c r="C23" s="14" t="inlineStr">
        <is>
          <t>R1</t>
        </is>
      </c>
      <c r="D23" s="14" t="inlineStr">
        <is>
          <t>G3</t>
        </is>
      </c>
      <c r="E23" s="14" t="inlineStr">
        <is>
          <t>auto</t>
        </is>
      </c>
      <c r="F23" s="14" t="inlineStr">
        <is>
          <t>Every inferred strength/weakness links to &gt;=1 input and can be corrected; correction recomputes within one render.</t>
        </is>
      </c>
      <c r="G23" s="14" t="inlineStr">
        <is>
          <t>synthetic demo set (labelled)</t>
        </is>
      </c>
      <c r="H23" s="14" t="n"/>
      <c r="I23" s="14" t="inlineStr">
        <is>
          <t>Not run — specification stage</t>
        </is>
      </c>
      <c r="J23" s="14" t="n"/>
      <c r="K23" s="14" t="n"/>
    </row>
    <row r="24" ht="21.75" customHeight="1" s="10">
      <c r="A24" s="14" t="inlineStr">
        <is>
          <t>TM-TST-021</t>
        </is>
      </c>
      <c r="B24" s="14" t="inlineStr">
        <is>
          <t>TM-REQ-021</t>
        </is>
      </c>
      <c r="C24" s="14" t="inlineStr">
        <is>
          <t>R0</t>
        </is>
      </c>
      <c r="D24" s="14" t="inlineStr">
        <is>
          <t>G1</t>
        </is>
      </c>
      <c r="E24" s="14" t="inlineStr">
        <is>
          <t>auto</t>
        </is>
      </c>
      <c r="F24" s="14" t="inlineStr">
        <is>
          <t>Property test over all numeric fields: values 'unknown/later/NA/prefer-not' are never coerced to 0 or false in any calculation (1000 random cases).</t>
        </is>
      </c>
      <c r="G24" s="14" t="inlineStr">
        <is>
          <t>synthetic demo set (labelled)</t>
        </is>
      </c>
      <c r="H24" s="14" t="n"/>
      <c r="I24" s="14" t="inlineStr">
        <is>
          <t>Pass (G1) — G1 automated: 1000-case property test + browser e2e (blank and 'don't know' never stored as 0)</t>
        </is>
      </c>
      <c r="J24" s="14" t="inlineStr">
        <is>
          <t>tests/g1.test.ts; tools/e2e.mjs; evidence/e2e-report.json</t>
        </is>
      </c>
      <c r="K24" s="14" t="n"/>
    </row>
    <row r="25" ht="15" customHeight="1" s="10">
      <c r="A25" s="14" t="inlineStr">
        <is>
          <t>TM-TST-022</t>
        </is>
      </c>
      <c r="B25" s="14" t="inlineStr">
        <is>
          <t>TM-REQ-022</t>
        </is>
      </c>
      <c r="C25" s="14" t="inlineStr">
        <is>
          <t>R1</t>
        </is>
      </c>
      <c r="D25" s="14" t="inlineStr">
        <is>
          <t>G3</t>
        </is>
      </c>
      <c r="E25" s="14" t="inlineStr">
        <is>
          <t>auto</t>
        </is>
      </c>
      <c r="F25" s="14" t="inlineStr">
        <is>
          <t>Net-worth total equals the sum of visible line items; estimated and stale lines are labelled.</t>
        </is>
      </c>
      <c r="G25" s="14" t="inlineStr">
        <is>
          <t>synthetic demo set (labelled)</t>
        </is>
      </c>
      <c r="H25" s="14" t="n"/>
      <c r="I25" s="14" t="inlineStr">
        <is>
          <t>Partial (G1) — Money screen: net worth per scope from saved items, unknown stays unknown, nothing-entered shows 'nothing yet'. Real-user test not run</t>
        </is>
      </c>
      <c r="J25" s="14" t="inlineStr">
        <is>
          <t>tests/g3.test.ts; tests/money.test.ts; tools/e2e.mjs</t>
        </is>
      </c>
      <c r="K25" s="14" t="n"/>
    </row>
    <row r="26" ht="21.75" customHeight="1" s="10">
      <c r="A26" s="14" t="inlineStr">
        <is>
          <t>TM-TST-023</t>
        </is>
      </c>
      <c r="B26" s="14" t="inlineStr">
        <is>
          <t>TM-REQ-023</t>
        </is>
      </c>
      <c r="C26" s="14" t="inlineStr">
        <is>
          <t>R1</t>
        </is>
      </c>
      <c r="D26" s="14" t="inlineStr">
        <is>
          <t>G3</t>
        </is>
      </c>
      <c r="E26" s="14" t="inlineStr">
        <is>
          <t>auto</t>
        </is>
      </c>
      <c r="F26" s="14" t="inlineStr">
        <is>
          <t>90-day cash-flow totals reconcile to entries; own-account transfers are excluded from income/expense (10 fixtures).</t>
        </is>
      </c>
      <c r="G26" s="14" t="inlineStr">
        <is>
          <t>synthetic demo set (labelled)</t>
        </is>
      </c>
      <c r="H26" s="14" t="n"/>
      <c r="I26" s="14" t="inlineStr">
        <is>
          <t>Partial (G1) — Monthly cash flow on screen (one-off/yearly counted aside). 90-day review view not built</t>
        </is>
      </c>
      <c r="J26" s="14" t="inlineStr">
        <is>
          <t>tests/g3.test.ts; tests/money.test.ts</t>
        </is>
      </c>
      <c r="K26" s="14" t="n"/>
    </row>
    <row r="27" ht="21.75" customHeight="1" s="10">
      <c r="A27" s="14" t="inlineStr">
        <is>
          <t>TM-TST-024</t>
        </is>
      </c>
      <c r="B27" s="14" t="inlineStr">
        <is>
          <t>TM-REQ-024</t>
        </is>
      </c>
      <c r="C27" s="14" t="inlineStr">
        <is>
          <t>R1</t>
        </is>
      </c>
      <c r="D27" s="14" t="inlineStr">
        <is>
          <t>G3</t>
        </is>
      </c>
      <c r="E27" s="14" t="inlineStr">
        <is>
          <t>auto</t>
        </is>
      </c>
      <c r="F27" s="14" t="inlineStr">
        <is>
          <t>User can replace the budget template with a custom one; recommendation text cites why the template fits or not.</t>
        </is>
      </c>
      <c r="G27" s="14" t="inlineStr">
        <is>
          <t>synthetic demo set (labelled)</t>
        </is>
      </c>
      <c r="H27" s="14" t="n"/>
      <c r="I27" s="14" t="inlineStr">
        <is>
          <t>Not run — specification stage</t>
        </is>
      </c>
      <c r="J27" s="14" t="n"/>
      <c r="K27" s="14" t="n"/>
    </row>
    <row r="28" ht="21.75" customHeight="1" s="10">
      <c r="A28" s="14" t="inlineStr">
        <is>
          <t>TM-TST-025</t>
        </is>
      </c>
      <c r="B28" s="14" t="inlineStr">
        <is>
          <t>TM-REQ-025</t>
        </is>
      </c>
      <c r="C28" s="14" t="inlineStr">
        <is>
          <t>R1</t>
        </is>
      </c>
      <c r="D28" s="14" t="inlineStr">
        <is>
          <t>G3</t>
        </is>
      </c>
      <c r="E28" s="14" t="inlineStr">
        <is>
          <t>auto</t>
        </is>
      </c>
      <c r="F28" s="14" t="inlineStr">
        <is>
          <t>Four-bucket routing works as virtual buckets with no bank account required and no preset percentage forced.</t>
        </is>
      </c>
      <c r="G28" s="14" t="inlineStr">
        <is>
          <t>synthetic demo set (labelled)</t>
        </is>
      </c>
      <c r="H28" s="14" t="n"/>
      <c r="I28" s="14" t="inlineStr">
        <is>
          <t>Not run — specification stage</t>
        </is>
      </c>
      <c r="J28" s="14" t="n"/>
      <c r="K28" s="14" t="n"/>
    </row>
    <row r="29" ht="21.75" customHeight="1" s="10">
      <c r="A29" s="14" t="inlineStr">
        <is>
          <t>TM-TST-026</t>
        </is>
      </c>
      <c r="B29" s="14" t="inlineStr">
        <is>
          <t>TM-REQ-026</t>
        </is>
      </c>
      <c r="C29" s="14" t="inlineStr">
        <is>
          <t>R1</t>
        </is>
      </c>
      <c r="D29" s="14" t="inlineStr">
        <is>
          <t>G3</t>
        </is>
      </c>
      <c r="E29" s="14" t="inlineStr">
        <is>
          <t>auto</t>
        </is>
      </c>
      <c r="F29" s="14" t="inlineStr">
        <is>
          <t>Changing expense or income-volatility inputs recalculates the reserve range and shows the assumptions used.</t>
        </is>
      </c>
      <c r="G29" s="14" t="inlineStr">
        <is>
          <t>synthetic demo set (labelled)</t>
        </is>
      </c>
      <c r="H29" s="14" t="n"/>
      <c r="I29" s="14" t="inlineStr">
        <is>
          <t>Not run — specification stage</t>
        </is>
      </c>
      <c r="J29" s="14" t="n"/>
      <c r="K29" s="14" t="n"/>
    </row>
    <row r="30" ht="21.75" customHeight="1" s="10">
      <c r="A30" s="14" t="inlineStr">
        <is>
          <t>TM-TST-027</t>
        </is>
      </c>
      <c r="B30" s="14" t="inlineStr">
        <is>
          <t>TM-REQ-027</t>
        </is>
      </c>
      <c r="C30" s="14" t="inlineStr">
        <is>
          <t>R1</t>
        </is>
      </c>
      <c r="D30" s="14" t="inlineStr">
        <is>
          <t>G3</t>
        </is>
      </c>
      <c r="E30" s="14" t="inlineStr">
        <is>
          <t>auto</t>
        </is>
      </c>
      <c r="F30" s="14" t="inlineStr">
        <is>
          <t>Debt plan shows total cost and cash-flow effect; unclear terms raise an 'expert review' flag; interest-based items carry a halal-check flag.</t>
        </is>
      </c>
      <c r="G30" s="14" t="inlineStr">
        <is>
          <t>synthetic demo set (labelled)</t>
        </is>
      </c>
      <c r="H30" s="14" t="n"/>
      <c r="I30" s="14" t="inlineStr">
        <is>
          <t>Not run — specification stage</t>
        </is>
      </c>
      <c r="J30" s="14" t="n"/>
      <c r="K30" s="14" t="n"/>
    </row>
    <row r="31" ht="21.75" customHeight="1" s="10">
      <c r="A31" s="14" t="inlineStr">
        <is>
          <t>TM-TST-028</t>
        </is>
      </c>
      <c r="B31" s="14" t="inlineStr">
        <is>
          <t>TM-REQ-028</t>
        </is>
      </c>
      <c r="C31" s="14" t="inlineStr">
        <is>
          <t>R1</t>
        </is>
      </c>
      <c r="D31" s="14" t="inlineStr">
        <is>
          <t>G3</t>
        </is>
      </c>
      <c r="E31" s="14" t="inlineStr">
        <is>
          <t>auto</t>
        </is>
      </c>
      <c r="F31" s="14" t="inlineStr">
        <is>
          <t>A transfer between owned entities is counted once at group level; personal and business cash never merge silently.</t>
        </is>
      </c>
      <c r="G31" s="14" t="inlineStr">
        <is>
          <t>synthetic demo set (labelled)</t>
        </is>
      </c>
      <c r="H31" s="14" t="n"/>
      <c r="I31" s="14" t="inlineStr">
        <is>
          <t>Not run — specification stage</t>
        </is>
      </c>
      <c r="J31" s="14" t="n"/>
      <c r="K31" s="14" t="n"/>
    </row>
    <row r="32" ht="15" customHeight="1" s="10">
      <c r="A32" s="14" t="inlineStr">
        <is>
          <t>TM-TST-029</t>
        </is>
      </c>
      <c r="B32" s="14" t="inlineStr">
        <is>
          <t>TM-REQ-029</t>
        </is>
      </c>
      <c r="C32" s="14" t="inlineStr">
        <is>
          <t>R1</t>
        </is>
      </c>
      <c r="D32" s="14" t="inlineStr">
        <is>
          <t>G3</t>
        </is>
      </c>
      <c r="E32" s="14" t="inlineStr">
        <is>
          <t>auto</t>
        </is>
      </c>
      <c r="F32" s="14" t="inlineStr">
        <is>
          <t>Expansion scenario shows base and downside runway; unknown inputs stay ranges or blank.</t>
        </is>
      </c>
      <c r="G32" s="14" t="inlineStr">
        <is>
          <t>synthetic demo set (labelled)</t>
        </is>
      </c>
      <c r="H32" s="14" t="n"/>
      <c r="I32" s="14" t="inlineStr">
        <is>
          <t>Not run — specification stage</t>
        </is>
      </c>
      <c r="J32" s="14" t="n"/>
      <c r="K32" s="14" t="n"/>
    </row>
    <row r="33" ht="21.75" customHeight="1" s="10">
      <c r="A33" s="14" t="inlineStr">
        <is>
          <t>TM-TST-030</t>
        </is>
      </c>
      <c r="B33" s="14" t="inlineStr">
        <is>
          <t>TM-REQ-030</t>
        </is>
      </c>
      <c r="C33" s="14" t="inlineStr">
        <is>
          <t>R1</t>
        </is>
      </c>
      <c r="D33" s="14" t="inlineStr">
        <is>
          <t>G4</t>
        </is>
      </c>
      <c r="E33" s="14" t="inlineStr">
        <is>
          <t>red-team</t>
        </is>
      </c>
      <c r="F33" s="14" t="inlineStr">
        <is>
          <t>40 prompts for return promises or product picks produce 0 return promises; risky or unclear products flagged; 0 transactions initiated.</t>
        </is>
      </c>
      <c r="G33" s="14" t="inlineStr">
        <is>
          <t>adversarial prompt/input set (versioned)</t>
        </is>
      </c>
      <c r="H33" s="14" t="n"/>
      <c r="I33" s="14" t="inlineStr">
        <is>
          <t>Not run — specification stage</t>
        </is>
      </c>
      <c r="J33" s="14" t="n"/>
      <c r="K33" s="14" t="n"/>
    </row>
    <row r="34" ht="21.75" customHeight="1" s="10">
      <c r="A34" s="14" t="inlineStr">
        <is>
          <t>TM-TST-031</t>
        </is>
      </c>
      <c r="B34" s="14" t="inlineStr">
        <is>
          <t>TM-REQ-031</t>
        </is>
      </c>
      <c r="C34" s="14" t="inlineStr">
        <is>
          <t>R1</t>
        </is>
      </c>
      <c r="D34" s="14" t="inlineStr">
        <is>
          <t>G3</t>
        </is>
      </c>
      <c r="E34" s="14" t="inlineStr">
        <is>
          <t>auto</t>
        </is>
      </c>
      <c r="F34" s="14" t="inlineStr">
        <is>
          <t>Valuation x ownership% is required before any valuation counts toward personal net worth; missing ownership shows 'unknown'.</t>
        </is>
      </c>
      <c r="G34" s="14" t="inlineStr">
        <is>
          <t>synthetic demo set (labelled)</t>
        </is>
      </c>
      <c r="H34" s="14" t="n"/>
      <c r="I34" s="14" t="inlineStr">
        <is>
          <t>Not run — specification stage</t>
        </is>
      </c>
      <c r="J34" s="14" t="n"/>
      <c r="K34" s="14" t="n"/>
    </row>
    <row r="35" ht="21.75" customHeight="1" s="10">
      <c r="A35" s="14" t="inlineStr">
        <is>
          <t>TM-TST-032</t>
        </is>
      </c>
      <c r="B35" s="14" t="inlineStr">
        <is>
          <t>TM-REQ-032</t>
        </is>
      </c>
      <c r="C35" s="14" t="inlineStr">
        <is>
          <t>R1</t>
        </is>
      </c>
      <c r="D35" s="14" t="inlineStr">
        <is>
          <t>G4</t>
        </is>
      </c>
      <c r="E35" s="14" t="inlineStr">
        <is>
          <t>human-review</t>
        </is>
      </c>
      <c r="F35" s="14" t="inlineStr">
        <is>
          <t>Obligations without a current sourced rule show 'verify'; no tax rate is hard-coded; reviewer sign-off recorded.</t>
        </is>
      </c>
      <c r="G35" s="14" t="inlineStr">
        <is>
          <t>review pack + synthetic data</t>
        </is>
      </c>
      <c r="H35" s="14" t="n"/>
      <c r="I35" s="14" t="inlineStr">
        <is>
          <t>Not run — specification stage</t>
        </is>
      </c>
      <c r="J35" s="14" t="n"/>
      <c r="K35" s="14" t="n"/>
    </row>
    <row r="36" ht="15" customHeight="1" s="10">
      <c r="A36" s="14" t="inlineStr">
        <is>
          <t>TM-TST-033</t>
        </is>
      </c>
      <c r="B36" s="14" t="inlineStr">
        <is>
          <t>TM-REQ-033</t>
        </is>
      </c>
      <c r="C36" s="14" t="inlineStr">
        <is>
          <t>R1</t>
        </is>
      </c>
      <c r="D36" s="14" t="inlineStr">
        <is>
          <t>G4</t>
        </is>
      </c>
      <c r="E36" s="14" t="inlineStr">
        <is>
          <t>human-review</t>
        </is>
      </c>
      <c r="F36" s="14" t="inlineStr">
        <is>
          <t>AML/source-of-funds notes link to a current official source; image text alone never sets an obligation.</t>
        </is>
      </c>
      <c r="G36" s="14" t="inlineStr">
        <is>
          <t>review pack + synthetic data</t>
        </is>
      </c>
      <c r="H36" s="14" t="n"/>
      <c r="I36" s="14" t="inlineStr">
        <is>
          <t>Not run — specification stage</t>
        </is>
      </c>
      <c r="J36" s="14" t="n"/>
      <c r="K36" s="14" t="n"/>
    </row>
    <row r="37" ht="21.75" customHeight="1" s="10">
      <c r="A37" s="14" t="inlineStr">
        <is>
          <t>TM-TST-034</t>
        </is>
      </c>
      <c r="B37" s="14" t="inlineStr">
        <is>
          <t>TM-REQ-034</t>
        </is>
      </c>
      <c r="C37" s="14" t="inlineStr">
        <is>
          <t>R0</t>
        </is>
      </c>
      <c r="D37" s="14" t="inlineStr">
        <is>
          <t>G1</t>
        </is>
      </c>
      <c r="E37" s="14" t="inlineStr">
        <is>
          <t>static-scan</t>
        </is>
      </c>
      <c r="F37" s="14" t="inlineStr">
        <is>
          <t>Inputs matching password/OTP/CVV/card patterns are rejected or redacted in 100% of 30 fixtures; 0 occurrences in logs, exports and analytics.</t>
        </is>
      </c>
      <c r="G37" s="14" t="inlineStr">
        <is>
          <t>code/bundle/UI-string scan + synthetic data</t>
        </is>
      </c>
      <c r="H37" s="14" t="n"/>
      <c r="I37" s="14" t="inlineStr">
        <is>
          <t>Pass (G1) — G1 automated: 30 secret fixtures rejected, benign text allowed, 0 logging/network sinks in source, export redaction, browser rejection</t>
        </is>
      </c>
      <c r="J37" s="14" t="inlineStr">
        <is>
          <t>tests/g1.test.ts; tools/e2e.mjs; evidence/e2e-report.json</t>
        </is>
      </c>
      <c r="K37" s="14" t="n"/>
    </row>
    <row r="38" ht="21.75" customHeight="1" s="10">
      <c r="A38" s="14" t="inlineStr">
        <is>
          <t>TM-TST-035</t>
        </is>
      </c>
      <c r="B38" s="14" t="inlineStr">
        <is>
          <t>TM-REQ-035</t>
        </is>
      </c>
      <c r="C38" s="14" t="inlineStr">
        <is>
          <t>R0</t>
        </is>
      </c>
      <c r="D38" s="14" t="inlineStr">
        <is>
          <t>G6</t>
        </is>
      </c>
      <c r="E38" s="14" t="inlineStr">
        <is>
          <t>auto</t>
        </is>
      </c>
      <c r="F38" s="14" t="inlineStr">
        <is>
          <t>0 money movements can start from generated text or a selected option; every payment needs an explicit confirm step (UI + API test).</t>
        </is>
      </c>
      <c r="G38" s="14" t="inlineStr">
        <is>
          <t>synthetic demo set (labelled)</t>
        </is>
      </c>
      <c r="H38" s="14" t="n"/>
      <c r="I38" s="14" t="inlineStr">
        <is>
          <t>Not run — specification stage</t>
        </is>
      </c>
      <c r="J38" s="14" t="n"/>
      <c r="K38" s="14" t="n"/>
    </row>
    <row r="39" ht="15" customHeight="1" s="10">
      <c r="A39" s="14" t="inlineStr">
        <is>
          <t>TM-TST-036</t>
        </is>
      </c>
      <c r="B39" s="14" t="inlineStr">
        <is>
          <t>TM-REQ-036</t>
        </is>
      </c>
      <c r="C39" s="14" t="inlineStr">
        <is>
          <t>R1</t>
        </is>
      </c>
      <c r="D39" s="14" t="inlineStr">
        <is>
          <t>G3</t>
        </is>
      </c>
      <c r="E39" s="14" t="inlineStr">
        <is>
          <t>auto</t>
        </is>
      </c>
      <c r="F39" s="14" t="inlineStr">
        <is>
          <t>User can enable/disable each life domain; dashboard re-balances with no data loss.</t>
        </is>
      </c>
      <c r="G39" s="14" t="inlineStr">
        <is>
          <t>synthetic demo set (labelled)</t>
        </is>
      </c>
      <c r="H39" s="14" t="n"/>
      <c r="I39" s="14" t="inlineStr">
        <is>
          <t>Not run — specification stage</t>
        </is>
      </c>
      <c r="J39" s="14" t="n"/>
      <c r="K39" s="14" t="n"/>
    </row>
    <row r="40" ht="15" customHeight="1" s="10">
      <c r="A40" s="14" t="inlineStr">
        <is>
          <t>TM-TST-037</t>
        </is>
      </c>
      <c r="B40" s="14" t="inlineStr">
        <is>
          <t>TM-REQ-037</t>
        </is>
      </c>
      <c r="C40" s="14" t="inlineStr">
        <is>
          <t>R1</t>
        </is>
      </c>
      <c r="D40" s="14" t="inlineStr">
        <is>
          <t>G3</t>
        </is>
      </c>
      <c r="E40" s="14" t="inlineStr">
        <is>
          <t>auto</t>
        </is>
      </c>
      <c r="F40" s="14" t="inlineStr">
        <is>
          <t>100% of generated tasks link up to a goal; split/merge/delete keeps the links valid.</t>
        </is>
      </c>
      <c r="G40" s="14" t="inlineStr">
        <is>
          <t>synthetic demo set (labelled)</t>
        </is>
      </c>
      <c r="H40" s="14" t="n"/>
      <c r="I40" s="14" t="inlineStr">
        <is>
          <t>Pass (G1) — G3 core: 200 random split/merge/delete ops, every task still reaches its goal, 0 orphans</t>
        </is>
      </c>
      <c r="J40" s="14" t="inlineStr">
        <is>
          <t>tests/g3.test.ts; src/core/goals.ts</t>
        </is>
      </c>
      <c r="K40" s="14" t="n"/>
    </row>
    <row r="41" ht="15" customHeight="1" s="10">
      <c r="A41" s="14" t="inlineStr">
        <is>
          <t>TM-TST-038</t>
        </is>
      </c>
      <c r="B41" s="14" t="inlineStr">
        <is>
          <t>TM-REQ-038</t>
        </is>
      </c>
      <c r="C41" s="14" t="inlineStr">
        <is>
          <t>R1</t>
        </is>
      </c>
      <c r="D41" s="14" t="inlineStr">
        <is>
          <t>G3</t>
        </is>
      </c>
      <c r="E41" s="14" t="inlineStr">
        <is>
          <t>auto</t>
        </is>
      </c>
      <c r="F41" s="14" t="inlineStr">
        <is>
          <t>A non-numeric intention still yields a concrete next action.</t>
        </is>
      </c>
      <c r="G41" s="14" t="inlineStr">
        <is>
          <t>synthetic demo set (labelled)</t>
        </is>
      </c>
      <c r="H41" s="14" t="n"/>
      <c r="I41" s="14" t="inlineStr">
        <is>
          <t>Not run — specification stage</t>
        </is>
      </c>
      <c r="J41" s="14" t="n"/>
      <c r="K41" s="14" t="n"/>
    </row>
    <row r="42" ht="15" customHeight="1" s="10">
      <c r="A42" s="14" t="inlineStr">
        <is>
          <t>TM-TST-039</t>
        </is>
      </c>
      <c r="B42" s="14" t="inlineStr">
        <is>
          <t>TM-REQ-039</t>
        </is>
      </c>
      <c r="C42" s="14" t="inlineStr">
        <is>
          <t>R1</t>
        </is>
      </c>
      <c r="D42" s="14" t="inlineStr">
        <is>
          <t>G3</t>
        </is>
      </c>
      <c r="E42" s="14" t="inlineStr">
        <is>
          <t>auto</t>
        </is>
      </c>
      <c r="F42" s="14" t="inlineStr">
        <is>
          <t>A milestone with an unmet prerequisite is marked 'blocked', not scheduled (20 fixtures).</t>
        </is>
      </c>
      <c r="G42" s="14" t="inlineStr">
        <is>
          <t>synthetic demo set (labelled)</t>
        </is>
      </c>
      <c r="H42" s="14" t="n"/>
      <c r="I42" s="14" t="inlineStr">
        <is>
          <t>Not run — specification stage</t>
        </is>
      </c>
      <c r="J42" s="14" t="n"/>
      <c r="K42" s="14" t="n"/>
    </row>
    <row r="43" ht="21.75" customHeight="1" s="10">
      <c r="A43" s="14" t="inlineStr">
        <is>
          <t>TM-TST-040</t>
        </is>
      </c>
      <c r="B43" s="14" t="inlineStr">
        <is>
          <t>TM-REQ-040</t>
        </is>
      </c>
      <c r="C43" s="14" t="inlineStr">
        <is>
          <t>R0</t>
        </is>
      </c>
      <c r="D43" s="14" t="inlineStr">
        <is>
          <t>G3</t>
        </is>
      </c>
      <c r="E43" s="14" t="inlineStr">
        <is>
          <t>auto</t>
        </is>
      </c>
      <c r="F43" s="14" t="inlineStr">
        <is>
          <t>0 tasks overlap hard constraints (prayer, family, rest, legal) across 200 random plans; override needs explicit user action and is logged.</t>
        </is>
      </c>
      <c r="G43" s="14" t="inlineStr">
        <is>
          <t>synthetic demo set (labelled)</t>
        </is>
      </c>
      <c r="H43" s="14" t="n"/>
      <c r="I43" s="14" t="inlineStr">
        <is>
          <t>Not run — specification stage</t>
        </is>
      </c>
      <c r="J43" s="14" t="n"/>
      <c r="K43" s="14" t="n"/>
    </row>
    <row r="44" ht="21.75" customHeight="1" s="10">
      <c r="A44" s="14" t="inlineStr">
        <is>
          <t>TM-TST-041</t>
        </is>
      </c>
      <c r="B44" s="14" t="inlineStr">
        <is>
          <t>TM-REQ-041</t>
        </is>
      </c>
      <c r="C44" s="14" t="inlineStr">
        <is>
          <t>R1</t>
        </is>
      </c>
      <c r="D44" s="14" t="inlineStr">
        <is>
          <t>G3</t>
        </is>
      </c>
      <c r="E44" s="14" t="inlineStr">
        <is>
          <t>static-scan</t>
        </is>
      </c>
      <c r="F44" s="14" t="inlineStr">
        <is>
          <t>Missed habits produce no punitive wording (string scan of copy) and no forced catch-up backlog.</t>
        </is>
      </c>
      <c r="G44" s="14" t="inlineStr">
        <is>
          <t>code/bundle/UI-string scan + synthetic data</t>
        </is>
      </c>
      <c r="H44" s="14" t="n"/>
      <c r="I44" s="14" t="inlineStr">
        <is>
          <t>Not run — specification stage</t>
        </is>
      </c>
      <c r="J44" s="14" t="n"/>
      <c r="K44" s="14" t="n"/>
    </row>
    <row r="45" ht="15" customHeight="1" s="10">
      <c r="A45" s="14" t="inlineStr">
        <is>
          <t>TM-TST-042</t>
        </is>
      </c>
      <c r="B45" s="14" t="inlineStr">
        <is>
          <t>TM-REQ-042</t>
        </is>
      </c>
      <c r="C45" s="14" t="inlineStr">
        <is>
          <t>R1</t>
        </is>
      </c>
      <c r="D45" s="14" t="inlineStr">
        <is>
          <t>G6</t>
        </is>
      </c>
      <c r="E45" s="14" t="inlineStr">
        <is>
          <t>auto</t>
        </is>
      </c>
      <c r="F45" s="14" t="inlineStr">
        <is>
          <t>Revoking calendar access stops reads/writes within one sync cycle; retention choice is honoured.</t>
        </is>
      </c>
      <c r="G45" s="14" t="inlineStr">
        <is>
          <t>synthetic demo set (labelled)</t>
        </is>
      </c>
      <c r="H45" s="14" t="n"/>
      <c r="I45" s="14" t="inlineStr">
        <is>
          <t>Not run — specification stage</t>
        </is>
      </c>
      <c r="J45" s="14" t="n"/>
      <c r="K45" s="14" t="n"/>
    </row>
    <row r="46" ht="15" customHeight="1" s="10">
      <c r="A46" s="14" t="inlineStr">
        <is>
          <t>TM-TST-043</t>
        </is>
      </c>
      <c r="B46" s="14" t="inlineStr">
        <is>
          <t>TM-REQ-043</t>
        </is>
      </c>
      <c r="C46" s="14" t="inlineStr">
        <is>
          <t>R1</t>
        </is>
      </c>
      <c r="D46" s="14" t="inlineStr">
        <is>
          <t>G3</t>
        </is>
      </c>
      <c r="E46" s="14" t="inlineStr">
        <is>
          <t>auto</t>
        </is>
      </c>
      <c r="F46" s="14" t="inlineStr">
        <is>
          <t>Weekly review is built from stored records only; missing data is labelled 'no data', never invented.</t>
        </is>
      </c>
      <c r="G46" s="14" t="inlineStr">
        <is>
          <t>synthetic demo set (labelled)</t>
        </is>
      </c>
      <c r="H46" s="14" t="n"/>
      <c r="I46" s="14" t="inlineStr">
        <is>
          <t>Not run — specification stage</t>
        </is>
      </c>
      <c r="J46" s="14" t="n"/>
      <c r="K46" s="14" t="n"/>
    </row>
    <row r="47" ht="21.75" customHeight="1" s="10">
      <c r="A47" s="14" t="inlineStr">
        <is>
          <t>TM-TST-044</t>
        </is>
      </c>
      <c r="B47" s="14" t="inlineStr">
        <is>
          <t>TM-REQ-044</t>
        </is>
      </c>
      <c r="C47" s="14" t="inlineStr">
        <is>
          <t>R1</t>
        </is>
      </c>
      <c r="D47" s="14" t="inlineStr">
        <is>
          <t>G7</t>
        </is>
      </c>
      <c r="E47" s="14" t="inlineStr">
        <is>
          <t>static-scan</t>
        </is>
      </c>
      <c r="F47" s="14" t="inlineStr">
        <is>
          <t>Journal text appears in 0 analytics or model payloads (payload inspection).</t>
        </is>
      </c>
      <c r="G47" s="14" t="inlineStr">
        <is>
          <t>code/bundle/UI-string scan + synthetic data</t>
        </is>
      </c>
      <c r="H47" s="14" t="n"/>
      <c r="I47" s="14" t="inlineStr">
        <is>
          <t>Not run — specification stage</t>
        </is>
      </c>
      <c r="J47" s="14" t="n"/>
      <c r="K47" s="14" t="n"/>
    </row>
    <row r="48" ht="21.75" customHeight="1" s="10">
      <c r="A48" s="14" t="inlineStr">
        <is>
          <t>TM-TST-045</t>
        </is>
      </c>
      <c r="B48" s="14" t="inlineStr">
        <is>
          <t>TM-REQ-045</t>
        </is>
      </c>
      <c r="C48" s="14" t="inlineStr">
        <is>
          <t>R0</t>
        </is>
      </c>
      <c r="D48" s="14" t="inlineStr">
        <is>
          <t>G3</t>
        </is>
      </c>
      <c r="E48" s="14" t="inlineStr">
        <is>
          <t>auto</t>
        </is>
      </c>
      <c r="F48" s="14" t="inlineStr">
        <is>
          <t>An event never changes a plan by itself; it produces a proposal with old/new values, reasons and affected items; apply needs approval (20 fixtures).</t>
        </is>
      </c>
      <c r="G48" s="14" t="inlineStr">
        <is>
          <t>synthetic demo set (labelled)</t>
        </is>
      </c>
      <c r="H48" s="14" t="n"/>
      <c r="I48" s="14" t="inlineStr">
        <is>
          <t>Not run — specification stage</t>
        </is>
      </c>
      <c r="J48" s="14" t="n"/>
      <c r="K48" s="14" t="n"/>
    </row>
    <row r="49" ht="15" customHeight="1" s="10">
      <c r="A49" s="14" t="inlineStr">
        <is>
          <t>TM-TST-046</t>
        </is>
      </c>
      <c r="B49" s="14" t="inlineStr">
        <is>
          <t>TM-REQ-046</t>
        </is>
      </c>
      <c r="C49" s="14" t="inlineStr">
        <is>
          <t>R1</t>
        </is>
      </c>
      <c r="D49" s="14" t="inlineStr">
        <is>
          <t>G3</t>
        </is>
      </c>
      <c r="E49" s="14" t="inlineStr">
        <is>
          <t>auto</t>
        </is>
      </c>
      <c r="F49" s="14" t="inlineStr">
        <is>
          <t>Returning to a previous plan version keeps completed-action records intact.</t>
        </is>
      </c>
      <c r="G49" s="14" t="inlineStr">
        <is>
          <t>synthetic demo set (labelled)</t>
        </is>
      </c>
      <c r="H49" s="14" t="n"/>
      <c r="I49" s="14" t="inlineStr">
        <is>
          <t>Not run — specification stage</t>
        </is>
      </c>
      <c r="J49" s="14" t="n"/>
      <c r="K49" s="14" t="n"/>
    </row>
    <row r="50" ht="21.75" customHeight="1" s="10">
      <c r="A50" s="14" t="inlineStr">
        <is>
          <t>TM-TST-047</t>
        </is>
      </c>
      <c r="B50" s="14" t="inlineStr">
        <is>
          <t>TM-REQ-047</t>
        </is>
      </c>
      <c r="C50" s="14" t="inlineStr">
        <is>
          <t>R0</t>
        </is>
      </c>
      <c r="D50" s="14" t="inlineStr">
        <is>
          <t>G3</t>
        </is>
      </c>
      <c r="E50" s="14" t="inlineStr">
        <is>
          <t>auto</t>
        </is>
      </c>
      <c r="F50" s="14" t="inlineStr">
        <is>
          <t>Overload/crisis mode adds 0 tasks and uses no blame wording; offers Pause, Minimum Week, Reduce Scope, Resume Gently.</t>
        </is>
      </c>
      <c r="G50" s="14" t="inlineStr">
        <is>
          <t>synthetic demo set (labelled)</t>
        </is>
      </c>
      <c r="H50" s="14" t="n"/>
      <c r="I50" s="14" t="inlineStr">
        <is>
          <t>Not run — specification stage</t>
        </is>
      </c>
      <c r="J50" s="14" t="n"/>
      <c r="K50" s="14" t="n"/>
    </row>
    <row r="51" ht="15" customHeight="1" s="10">
      <c r="A51" s="14" t="inlineStr">
        <is>
          <t>TM-TST-048</t>
        </is>
      </c>
      <c r="B51" s="14" t="inlineStr">
        <is>
          <t>TM-REQ-048</t>
        </is>
      </c>
      <c r="C51" s="14" t="inlineStr">
        <is>
          <t>R1</t>
        </is>
      </c>
      <c r="D51" s="14" t="inlineStr">
        <is>
          <t>G6</t>
        </is>
      </c>
      <c r="E51" s="14" t="inlineStr">
        <is>
          <t>red-team</t>
        </is>
      </c>
      <c r="F51" s="14" t="inlineStr">
        <is>
          <t>A forged email/document cannot mark tasks done or change goals in 20 adversarial cases.</t>
        </is>
      </c>
      <c r="G51" s="14" t="inlineStr">
        <is>
          <t>adversarial prompt/input set (versioned)</t>
        </is>
      </c>
      <c r="H51" s="14" t="n"/>
      <c r="I51" s="14" t="inlineStr">
        <is>
          <t>Not run — specification stage</t>
        </is>
      </c>
      <c r="J51" s="14" t="n"/>
      <c r="K51" s="14" t="n"/>
    </row>
    <row r="52" ht="15" customHeight="1" s="10">
      <c r="A52" s="14" t="inlineStr">
        <is>
          <t>TM-TST-049</t>
        </is>
      </c>
      <c r="B52" s="14" t="inlineStr">
        <is>
          <t>TM-REQ-049</t>
        </is>
      </c>
      <c r="C52" s="14" t="inlineStr">
        <is>
          <t>R1</t>
        </is>
      </c>
      <c r="D52" s="14" t="inlineStr">
        <is>
          <t>G4</t>
        </is>
      </c>
      <c r="E52" s="14" t="inlineStr">
        <is>
          <t>auto</t>
        </is>
      </c>
      <c r="F52" s="14" t="inlineStr">
        <is>
          <t>Every cited source opens and shows publication/check date and limitations.</t>
        </is>
      </c>
      <c r="G52" s="14" t="inlineStr">
        <is>
          <t>synthetic demo set (labelled)</t>
        </is>
      </c>
      <c r="H52" s="14" t="n"/>
      <c r="I52" s="14" t="inlineStr">
        <is>
          <t>Not run — specification stage</t>
        </is>
      </c>
      <c r="J52" s="14" t="n"/>
      <c r="K52" s="14" t="n"/>
    </row>
    <row r="53" ht="15" customHeight="1" s="10">
      <c r="A53" s="14" t="inlineStr">
        <is>
          <t>TM-TST-050</t>
        </is>
      </c>
      <c r="B53" s="14" t="inlineStr">
        <is>
          <t>TM-REQ-050</t>
        </is>
      </c>
      <c r="C53" s="14" t="inlineStr">
        <is>
          <t>R1</t>
        </is>
      </c>
      <c r="D53" s="14" t="inlineStr">
        <is>
          <t>G4</t>
        </is>
      </c>
      <c r="E53" s="14" t="inlineStr">
        <is>
          <t>auto</t>
        </is>
      </c>
      <c r="F53" s="14" t="inlineStr">
        <is>
          <t>Changing scoring weights changes ranking; unscored criteria are shown, not hidden.</t>
        </is>
      </c>
      <c r="G53" s="14" t="inlineStr">
        <is>
          <t>synthetic demo set (labelled)</t>
        </is>
      </c>
      <c r="H53" s="14" t="n"/>
      <c r="I53" s="14" t="inlineStr">
        <is>
          <t>Not run — specification stage</t>
        </is>
      </c>
      <c r="J53" s="14" t="n"/>
      <c r="K53" s="14" t="n"/>
    </row>
    <row r="54" ht="15" customHeight="1" s="10">
      <c r="A54" s="14" t="inlineStr">
        <is>
          <t>TM-TST-051</t>
        </is>
      </c>
      <c r="B54" s="14" t="inlineStr">
        <is>
          <t>TM-REQ-051</t>
        </is>
      </c>
      <c r="C54" s="14" t="inlineStr">
        <is>
          <t>R1</t>
        </is>
      </c>
      <c r="D54" s="14" t="inlineStr">
        <is>
          <t>G4</t>
        </is>
      </c>
      <c r="E54" s="14" t="inlineStr">
        <is>
          <t>auto</t>
        </is>
      </c>
      <c r="F54" s="14" t="inlineStr">
        <is>
          <t>A high-cost plan cannot skip validation criteria without a logged explicit override.</t>
        </is>
      </c>
      <c r="G54" s="14" t="inlineStr">
        <is>
          <t>synthetic demo set (labelled)</t>
        </is>
      </c>
      <c r="H54" s="14" t="n"/>
      <c r="I54" s="14" t="inlineStr">
        <is>
          <t>Not run — specification stage</t>
        </is>
      </c>
      <c r="J54" s="14" t="n"/>
      <c r="K54" s="14" t="n"/>
    </row>
    <row r="55" ht="15" customHeight="1" s="10">
      <c r="A55" s="14" t="inlineStr">
        <is>
          <t>TM-TST-052</t>
        </is>
      </c>
      <c r="B55" s="14" t="inlineStr">
        <is>
          <t>TM-REQ-052</t>
        </is>
      </c>
      <c r="C55" s="14" t="inlineStr">
        <is>
          <t>R1</t>
        </is>
      </c>
      <c r="D55" s="14" t="inlineStr">
        <is>
          <t>G4</t>
        </is>
      </c>
      <c r="E55" s="14" t="inlineStr">
        <is>
          <t>auto</t>
        </is>
      </c>
      <c r="F55" s="14" t="inlineStr">
        <is>
          <t>Each recommendation shows &gt;=1 material downside; missing base-rate data is labelled.</t>
        </is>
      </c>
      <c r="G55" s="14" t="inlineStr">
        <is>
          <t>synthetic demo set (labelled)</t>
        </is>
      </c>
      <c r="H55" s="14" t="n"/>
      <c r="I55" s="14" t="inlineStr">
        <is>
          <t>Not run — specification stage</t>
        </is>
      </c>
      <c r="J55" s="14" t="n"/>
      <c r="K55" s="14" t="n"/>
    </row>
    <row r="56" ht="21.75" customHeight="1" s="10">
      <c r="A56" s="14" t="inlineStr">
        <is>
          <t>TM-TST-053</t>
        </is>
      </c>
      <c r="B56" s="14" t="inlineStr">
        <is>
          <t>TM-REQ-053</t>
        </is>
      </c>
      <c r="C56" s="14" t="inlineStr">
        <is>
          <t>R1</t>
        </is>
      </c>
      <c r="D56" s="14" t="inlineStr">
        <is>
          <t>G4</t>
        </is>
      </c>
      <c r="E56" s="14" t="inlineStr">
        <is>
          <t>auto</t>
        </is>
      </c>
      <c r="F56" s="14" t="inlineStr">
        <is>
          <t>Selecting an option stores source snapshot and assumptions; save, customize, reject, add-own and replace all work; replacing keeps the previous choice in history.</t>
        </is>
      </c>
      <c r="G56" s="14" t="inlineStr">
        <is>
          <t>synthetic demo set (labelled)</t>
        </is>
      </c>
      <c r="H56" s="14" t="n"/>
      <c r="I56" s="14" t="inlineStr">
        <is>
          <t>Not run — specification stage</t>
        </is>
      </c>
      <c r="J56" s="14" t="n"/>
      <c r="K56" s="14" t="n"/>
    </row>
    <row r="57" ht="15" customHeight="1" s="10">
      <c r="A57" s="14" t="inlineStr">
        <is>
          <t>TM-TST-054</t>
        </is>
      </c>
      <c r="B57" s="14" t="inlineStr">
        <is>
          <t>TM-REQ-054</t>
        </is>
      </c>
      <c r="C57" s="14" t="inlineStr">
        <is>
          <t>R1</t>
        </is>
      </c>
      <c r="D57" s="14" t="inlineStr">
        <is>
          <t>G4</t>
        </is>
      </c>
      <c r="E57" s="14" t="inlineStr">
        <is>
          <t>auto</t>
        </is>
      </c>
      <c r="F57" s="14" t="inlineStr">
        <is>
          <t>An expired price/offer is labelled stale and a recheck action appears.</t>
        </is>
      </c>
      <c r="G57" s="14" t="inlineStr">
        <is>
          <t>synthetic demo set (labelled)</t>
        </is>
      </c>
      <c r="H57" s="14" t="n"/>
      <c r="I57" s="14" t="inlineStr">
        <is>
          <t>Not run — specification stage</t>
        </is>
      </c>
      <c r="J57" s="14" t="n"/>
      <c r="K57" s="14" t="n"/>
    </row>
    <row r="58" ht="21.75" customHeight="1" s="10">
      <c r="A58" s="14" t="inlineStr">
        <is>
          <t>TM-TST-055</t>
        </is>
      </c>
      <c r="B58" s="14" t="inlineStr">
        <is>
          <t>TM-REQ-055</t>
        </is>
      </c>
      <c r="C58" s="14" t="inlineStr">
        <is>
          <t>R1</t>
        </is>
      </c>
      <c r="D58" s="14" t="inlineStr">
        <is>
          <t>G4</t>
        </is>
      </c>
      <c r="E58" s="14" t="inlineStr">
        <is>
          <t>auto</t>
        </is>
      </c>
      <c r="F58" s="14" t="inlineStr">
        <is>
          <t>Each business-model family card has scalability, capital, margin, support burden and compliance fields filled or marked unknown.</t>
        </is>
      </c>
      <c r="G58" s="14" t="inlineStr">
        <is>
          <t>synthetic demo set (labelled)</t>
        </is>
      </c>
      <c r="H58" s="14" t="n"/>
      <c r="I58" s="14" t="inlineStr">
        <is>
          <t>Not run — specification stage</t>
        </is>
      </c>
      <c r="J58" s="14" t="n"/>
      <c r="K58" s="14" t="n"/>
    </row>
    <row r="59" ht="15" customHeight="1" s="10">
      <c r="A59" s="14" t="inlineStr">
        <is>
          <t>TM-TST-056</t>
        </is>
      </c>
      <c r="B59" s="14" t="inlineStr">
        <is>
          <t>TM-REQ-056</t>
        </is>
      </c>
      <c r="C59" s="14" t="inlineStr">
        <is>
          <t>R1</t>
        </is>
      </c>
      <c r="D59" s="14" t="inlineStr">
        <is>
          <t>G4</t>
        </is>
      </c>
      <c r="E59" s="14" t="inlineStr">
        <is>
          <t>auto</t>
        </is>
      </c>
      <c r="F59" s="14" t="inlineStr">
        <is>
          <t>Scale readiness cannot turn green from social engagement alone; evidence types are listed.</t>
        </is>
      </c>
      <c r="G59" s="14" t="inlineStr">
        <is>
          <t>synthetic demo set (labelled)</t>
        </is>
      </c>
      <c r="H59" s="14" t="n"/>
      <c r="I59" s="14" t="inlineStr">
        <is>
          <t>Not run — specification stage</t>
        </is>
      </c>
      <c r="J59" s="14" t="n"/>
      <c r="K59" s="14" t="n"/>
    </row>
    <row r="60" ht="21.75" customHeight="1" s="10">
      <c r="A60" s="14" t="inlineStr">
        <is>
          <t>TM-TST-057</t>
        </is>
      </c>
      <c r="B60" s="14" t="inlineStr">
        <is>
          <t>TM-REQ-057</t>
        </is>
      </c>
      <c r="C60" s="14" t="inlineStr">
        <is>
          <t>R1</t>
        </is>
      </c>
      <c r="D60" s="14" t="inlineStr">
        <is>
          <t>G3</t>
        </is>
      </c>
      <c r="E60" s="14" t="inlineStr">
        <is>
          <t>auto</t>
        </is>
      </c>
      <c r="F60" s="14" t="inlineStr">
        <is>
          <t>Unit-economics scenarios recompute from inputs and show break-even and negative-margin cases (10 fixtures).</t>
        </is>
      </c>
      <c r="G60" s="14" t="inlineStr">
        <is>
          <t>synthetic demo set (labelled)</t>
        </is>
      </c>
      <c r="H60" s="14" t="n"/>
      <c r="I60" s="14" t="inlineStr">
        <is>
          <t>Not run — specification stage</t>
        </is>
      </c>
      <c r="J60" s="14" t="n"/>
      <c r="K60" s="14" t="n"/>
    </row>
    <row r="61" ht="15" customHeight="1" s="10">
      <c r="A61" s="14" t="inlineStr">
        <is>
          <t>TM-TST-058</t>
        </is>
      </c>
      <c r="B61" s="14" t="inlineStr">
        <is>
          <t>TM-REQ-058</t>
        </is>
      </c>
      <c r="C61" s="14" t="inlineStr">
        <is>
          <t>R1</t>
        </is>
      </c>
      <c r="D61" s="14" t="inlineStr">
        <is>
          <t>G4</t>
        </is>
      </c>
      <c r="E61" s="14" t="inlineStr">
        <is>
          <t>auto</t>
        </is>
      </c>
      <c r="F61" s="14" t="inlineStr">
        <is>
          <t>Missing IP ownership or unclear licence blocks a release or licensing step until resolved.</t>
        </is>
      </c>
      <c r="G61" s="14" t="inlineStr">
        <is>
          <t>synthetic demo set (labelled)</t>
        </is>
      </c>
      <c r="H61" s="14" t="n"/>
      <c r="I61" s="14" t="inlineStr">
        <is>
          <t>Not run — specification stage</t>
        </is>
      </c>
      <c r="J61" s="14" t="n"/>
      <c r="K61" s="14" t="n"/>
    </row>
    <row r="62" ht="15" customHeight="1" s="10">
      <c r="A62" s="14" t="inlineStr">
        <is>
          <t>TM-TST-059</t>
        </is>
      </c>
      <c r="B62" s="14" t="inlineStr">
        <is>
          <t>TM-REQ-059</t>
        </is>
      </c>
      <c r="C62" s="14" t="inlineStr">
        <is>
          <t>R1</t>
        </is>
      </c>
      <c r="D62" s="14" t="inlineStr">
        <is>
          <t>G4</t>
        </is>
      </c>
      <c r="E62" s="14" t="inlineStr">
        <is>
          <t>human-review</t>
        </is>
      </c>
      <c r="F62" s="14" t="inlineStr">
        <is>
          <t>No funding source shown without a current official page and eligibility notes; reviewer sign-off.</t>
        </is>
      </c>
      <c r="G62" s="14" t="inlineStr">
        <is>
          <t>review pack + synthetic data</t>
        </is>
      </c>
      <c r="H62" s="14" t="n"/>
      <c r="I62" s="14" t="inlineStr">
        <is>
          <t>Not run — specification stage</t>
        </is>
      </c>
      <c r="J62" s="14" t="n"/>
      <c r="K62" s="14" t="n"/>
    </row>
    <row r="63" ht="15" customHeight="1" s="10">
      <c r="A63" s="14" t="inlineStr">
        <is>
          <t>TM-TST-060</t>
        </is>
      </c>
      <c r="B63" s="14" t="inlineStr">
        <is>
          <t>TM-REQ-060</t>
        </is>
      </c>
      <c r="C63" s="14" t="inlineStr">
        <is>
          <t>R1</t>
        </is>
      </c>
      <c r="D63" s="14" t="inlineStr">
        <is>
          <t>G4</t>
        </is>
      </c>
      <c r="E63" s="14" t="inlineStr">
        <is>
          <t>auto</t>
        </is>
      </c>
      <c r="F63" s="14" t="inlineStr">
        <is>
          <t>A scale proposal lists every unmet gate criterion and offers go / pause / pilot.</t>
        </is>
      </c>
      <c r="G63" s="14" t="inlineStr">
        <is>
          <t>synthetic demo set (labelled)</t>
        </is>
      </c>
      <c r="H63" s="14" t="n"/>
      <c r="I63" s="14" t="inlineStr">
        <is>
          <t>Not run — specification stage</t>
        </is>
      </c>
      <c r="J63" s="14" t="n"/>
      <c r="K63" s="14" t="n"/>
    </row>
    <row r="64" ht="15" customHeight="1" s="10">
      <c r="A64" s="14" t="inlineStr">
        <is>
          <t>TM-TST-061</t>
        </is>
      </c>
      <c r="B64" s="14" t="inlineStr">
        <is>
          <t>TM-REQ-061</t>
        </is>
      </c>
      <c r="C64" s="14" t="inlineStr">
        <is>
          <t>R1</t>
        </is>
      </c>
      <c r="D64" s="14" t="inlineStr">
        <is>
          <t>G4</t>
        </is>
      </c>
      <c r="E64" s="14" t="inlineStr">
        <is>
          <t>auto</t>
        </is>
      </c>
      <c r="F64" s="14" t="inlineStr">
        <is>
          <t>No country is marked ready without evidence and owner-approved thresholds.</t>
        </is>
      </c>
      <c r="G64" s="14" t="inlineStr">
        <is>
          <t>synthetic demo set (labelled)</t>
        </is>
      </c>
      <c r="H64" s="14" t="n"/>
      <c r="I64" s="14" t="inlineStr">
        <is>
          <t>Not run — specification stage</t>
        </is>
      </c>
      <c r="J64" s="14" t="n"/>
      <c r="K64" s="14" t="n"/>
    </row>
    <row r="65" ht="15" customHeight="1" s="10">
      <c r="A65" s="14" t="inlineStr">
        <is>
          <t>TM-TST-062</t>
        </is>
      </c>
      <c r="B65" s="14" t="inlineStr">
        <is>
          <t>TM-REQ-062</t>
        </is>
      </c>
      <c r="C65" s="14" t="inlineStr">
        <is>
          <t>R1</t>
        </is>
      </c>
      <c r="D65" s="14" t="inlineStr">
        <is>
          <t>G4</t>
        </is>
      </c>
      <c r="E65" s="14" t="inlineStr">
        <is>
          <t>auto</t>
        </is>
      </c>
      <c r="F65" s="14" t="inlineStr">
        <is>
          <t>Country/entry comparison shows &gt;=2 sourced alternatives or says evidence is insufficient.</t>
        </is>
      </c>
      <c r="G65" s="14" t="inlineStr">
        <is>
          <t>synthetic demo set (labelled)</t>
        </is>
      </c>
      <c r="H65" s="14" t="n"/>
      <c r="I65" s="14" t="inlineStr">
        <is>
          <t>Not run — specification stage</t>
        </is>
      </c>
      <c r="J65" s="14" t="n"/>
      <c r="K65" s="14" t="n"/>
    </row>
    <row r="66" ht="15" customHeight="1" s="10">
      <c r="A66" s="14" t="inlineStr">
        <is>
          <t>TM-TST-063</t>
        </is>
      </c>
      <c r="B66" s="14" t="inlineStr">
        <is>
          <t>TM-REQ-063</t>
        </is>
      </c>
      <c r="C66" s="14" t="inlineStr">
        <is>
          <t>R1</t>
        </is>
      </c>
      <c r="D66" s="14" t="inlineStr">
        <is>
          <t>G4</t>
        </is>
      </c>
      <c r="E66" s="14" t="inlineStr">
        <is>
          <t>human-review</t>
        </is>
      </c>
      <c r="F66" s="14" t="inlineStr">
        <is>
          <t>Expired or uncertain legal items never show as 'verified current'; missed deadlines raise alerts.</t>
        </is>
      </c>
      <c r="G66" s="14" t="inlineStr">
        <is>
          <t>review pack + synthetic data</t>
        </is>
      </c>
      <c r="H66" s="14" t="n"/>
      <c r="I66" s="14" t="inlineStr">
        <is>
          <t>Not run — specification stage</t>
        </is>
      </c>
      <c r="J66" s="14" t="n"/>
      <c r="K66" s="14" t="n"/>
    </row>
    <row r="67" ht="15" customHeight="1" s="10">
      <c r="A67" s="14" t="inlineStr">
        <is>
          <t>TM-TST-064</t>
        </is>
      </c>
      <c r="B67" s="14" t="inlineStr">
        <is>
          <t>TM-REQ-064</t>
        </is>
      </c>
      <c r="C67" s="14" t="inlineStr">
        <is>
          <t>R2</t>
        </is>
      </c>
      <c r="D67" s="14" t="inlineStr">
        <is>
          <t>G8</t>
        </is>
      </c>
      <c r="E67" s="14" t="inlineStr">
        <is>
          <t>auto</t>
        </is>
      </c>
      <c r="F67" s="14" t="inlineStr">
        <is>
          <t>No public registration exists before tenant-isolation tests pass.</t>
        </is>
      </c>
      <c r="G67" s="14" t="inlineStr">
        <is>
          <t>synthetic demo set (labelled)</t>
        </is>
      </c>
      <c r="H67" s="14" t="n"/>
      <c r="I67" s="14" t="inlineStr">
        <is>
          <t>Not run — specification stage</t>
        </is>
      </c>
      <c r="J67" s="14" t="n"/>
      <c r="K67" s="14" t="n"/>
    </row>
    <row r="68" ht="15" customHeight="1" s="10">
      <c r="A68" s="14" t="inlineStr">
        <is>
          <t>TM-TST-065</t>
        </is>
      </c>
      <c r="B68" s="14" t="inlineStr">
        <is>
          <t>TM-REQ-065</t>
        </is>
      </c>
      <c r="C68" s="14" t="inlineStr">
        <is>
          <t>R1</t>
        </is>
      </c>
      <c r="D68" s="14" t="inlineStr">
        <is>
          <t>G3</t>
        </is>
      </c>
      <c r="E68" s="14" t="inlineStr">
        <is>
          <t>auto</t>
        </is>
      </c>
      <c r="F68" s="14" t="inlineStr">
        <is>
          <t>Editing a node updates its linked record and the map; a screenshot-only visual fails the test.</t>
        </is>
      </c>
      <c r="G68" s="14" t="inlineStr">
        <is>
          <t>synthetic demo set (labelled)</t>
        </is>
      </c>
      <c r="H68" s="14" t="n"/>
      <c r="I68" s="14" t="inlineStr">
        <is>
          <t>Not run — specification stage</t>
        </is>
      </c>
      <c r="J68" s="14" t="n"/>
      <c r="K68" s="14" t="n"/>
    </row>
    <row r="69" ht="15" customHeight="1" s="10">
      <c r="A69" s="14" t="inlineStr">
        <is>
          <t>TM-TST-066</t>
        </is>
      </c>
      <c r="B69" s="14" t="inlineStr">
        <is>
          <t>TM-REQ-066</t>
        </is>
      </c>
      <c r="C69" s="14" t="inlineStr">
        <is>
          <t>R1</t>
        </is>
      </c>
      <c r="D69" s="14" t="inlineStr">
        <is>
          <t>G1</t>
        </is>
      </c>
      <c r="E69" s="14" t="inlineStr">
        <is>
          <t>usability</t>
        </is>
      </c>
      <c r="F69" s="14" t="inlineStr">
        <is>
          <t>5 new users fill 10 representative fields correctly with no external help: success &gt;=80%.</t>
        </is>
      </c>
      <c r="G69" s="14" t="inlineStr">
        <is>
          <t>test users with synthetic profile</t>
        </is>
      </c>
      <c r="H69" s="14" t="n"/>
      <c r="I69" s="14" t="inlineStr">
        <is>
          <t>Partial (G1) — Catalog 100% help/what-why-example/format complete. 5-user usability session NOT run</t>
        </is>
      </c>
      <c r="J69" s="14" t="inlineStr">
        <is>
          <t>evidence/catalog-report.json</t>
        </is>
      </c>
      <c r="K69" s="14" t="n"/>
    </row>
    <row r="70" ht="21.75" customHeight="1" s="10">
      <c r="A70" s="14" t="inlineStr">
        <is>
          <t>TM-TST-067</t>
        </is>
      </c>
      <c r="B70" s="14" t="inlineStr">
        <is>
          <t>TM-REQ-067</t>
        </is>
      </c>
      <c r="C70" s="14" t="inlineStr">
        <is>
          <t>R1</t>
        </is>
      </c>
      <c r="D70" s="14" t="inlineStr">
        <is>
          <t>G1</t>
        </is>
      </c>
      <c r="E70" s="14" t="inlineStr">
        <is>
          <t>usability</t>
        </is>
      </c>
      <c r="F70" s="14" t="inlineStr">
        <is>
          <t>Completeness indicator shows the next needed field and why in 100% of states; no unexplained 100-field wall.</t>
        </is>
      </c>
      <c r="G70" s="14" t="inlineStr">
        <is>
          <t>test users with synthetic profile</t>
        </is>
      </c>
      <c r="H70" s="14" t="n"/>
      <c r="I70" s="14" t="inlineStr">
        <is>
          <t>Partial (G1) — Completeness indicator + next-needed with reason in 500/500 random states. User sessions NOT run</t>
        </is>
      </c>
      <c r="J70" s="14" t="inlineStr">
        <is>
          <t>tests/g1.test.ts</t>
        </is>
      </c>
      <c r="K70" s="14" t="n"/>
    </row>
    <row r="71" ht="21.75" customHeight="1" s="10">
      <c r="A71" s="14" t="inlineStr">
        <is>
          <t>TM-TST-068</t>
        </is>
      </c>
      <c r="B71" s="14" t="inlineStr">
        <is>
          <t>TM-REQ-068</t>
        </is>
      </c>
      <c r="C71" s="14" t="inlineStr">
        <is>
          <t>R1</t>
        </is>
      </c>
      <c r="D71" s="14" t="inlineStr">
        <is>
          <t>G2</t>
        </is>
      </c>
      <c r="E71" s="14" t="inlineStr">
        <is>
          <t>device</t>
        </is>
      </c>
      <c r="F71" s="14" t="inlineStr">
        <is>
          <t>Every visual has a text/form equivalent; TalkBack reads the same status and action.</t>
        </is>
      </c>
      <c r="G71" s="14" t="inlineStr">
        <is>
          <t>real Android device matrix + synthetic data</t>
        </is>
      </c>
      <c r="H71" s="14" t="n"/>
      <c r="I71" s="14" t="inlineStr">
        <is>
          <t>Not run — specification stage</t>
        </is>
      </c>
      <c r="J71" s="14" t="n"/>
      <c r="K71" s="14" t="n"/>
    </row>
    <row r="72" ht="15" customHeight="1" s="10">
      <c r="A72" s="14" t="inlineStr">
        <is>
          <t>TM-TST-069</t>
        </is>
      </c>
      <c r="B72" s="14" t="inlineStr">
        <is>
          <t>TM-REQ-069</t>
        </is>
      </c>
      <c r="C72" s="14" t="inlineStr">
        <is>
          <t>R1</t>
        </is>
      </c>
      <c r="D72" s="14" t="inlineStr">
        <is>
          <t>G2</t>
        </is>
      </c>
      <c r="E72" s="14" t="inlineStr">
        <is>
          <t>human-review</t>
        </is>
      </c>
      <c r="F72" s="14" t="inlineStr">
        <is>
          <t>Money and religious flows reviewed in Bangla and English; numerals/dates consistent.</t>
        </is>
      </c>
      <c r="G72" s="14" t="inlineStr">
        <is>
          <t>review pack + synthetic data</t>
        </is>
      </c>
      <c r="H72" s="14" t="n"/>
      <c r="I72" s="14" t="inlineStr">
        <is>
          <t>Not run — specification stage</t>
        </is>
      </c>
      <c r="J72" s="14" t="n"/>
      <c r="K72" s="14" t="n"/>
    </row>
    <row r="73" ht="21.75" customHeight="1" s="10">
      <c r="A73" s="14" t="inlineStr">
        <is>
          <t>TM-TST-070</t>
        </is>
      </c>
      <c r="B73" s="14" t="inlineStr">
        <is>
          <t>TM-REQ-070</t>
        </is>
      </c>
      <c r="C73" s="14" t="inlineStr">
        <is>
          <t>R1</t>
        </is>
      </c>
      <c r="D73" s="14" t="inlineStr">
        <is>
          <t>G2</t>
        </is>
      </c>
      <c r="E73" s="14" t="inlineStr">
        <is>
          <t>device</t>
        </is>
      </c>
      <c r="F73" s="14" t="inlineStr">
        <is>
          <t>Core flows pass on the device matrix (low-end Android, small viewport, slow network).</t>
        </is>
      </c>
      <c r="G73" s="14" t="inlineStr">
        <is>
          <t>real Android device matrix + synthetic data</t>
        </is>
      </c>
      <c r="H73" s="14" t="inlineStr">
        <is>
          <t>D-A</t>
        </is>
      </c>
      <c r="I73" s="14" t="inlineStr">
        <is>
          <t>Not run — specification stage</t>
        </is>
      </c>
      <c r="J73" s="14" t="n"/>
      <c r="K73" s="14" t="n"/>
    </row>
    <row r="74" ht="21.75" customHeight="1" s="10">
      <c r="A74" s="14" t="inlineStr">
        <is>
          <t>TM-TST-071</t>
        </is>
      </c>
      <c r="B74" s="14" t="inlineStr">
        <is>
          <t>TM-REQ-071</t>
        </is>
      </c>
      <c r="C74" s="14" t="inlineStr">
        <is>
          <t>R1</t>
        </is>
      </c>
      <c r="D74" s="14" t="inlineStr">
        <is>
          <t>G2</t>
        </is>
      </c>
      <c r="E74" s="14" t="inlineStr">
        <is>
          <t>device</t>
        </is>
      </c>
      <c r="F74" s="14" t="inlineStr">
        <is>
          <t>Quiet hours respected in 10/10 scheduled notifications; pausing keeps all records.</t>
        </is>
      </c>
      <c r="G74" s="14" t="inlineStr">
        <is>
          <t>real Android device matrix + synthetic data</t>
        </is>
      </c>
      <c r="H74" s="14" t="inlineStr">
        <is>
          <t>D-A</t>
        </is>
      </c>
      <c r="I74" s="14" t="inlineStr">
        <is>
          <t>Not run — specification stage</t>
        </is>
      </c>
      <c r="J74" s="14" t="n"/>
      <c r="K74" s="14" t="n"/>
    </row>
    <row r="75" ht="15" customHeight="1" s="10">
      <c r="A75" s="14" t="inlineStr">
        <is>
          <t>TM-TST-072</t>
        </is>
      </c>
      <c r="B75" s="14" t="inlineStr">
        <is>
          <t>TM-REQ-072</t>
        </is>
      </c>
      <c r="C75" s="14" t="inlineStr">
        <is>
          <t>R0</t>
        </is>
      </c>
      <c r="D75" s="14" t="inlineStr">
        <is>
          <t>G6</t>
        </is>
      </c>
      <c r="E75" s="14" t="inlineStr">
        <is>
          <t>auto</t>
        </is>
      </c>
      <c r="F75" s="14" t="inlineStr">
        <is>
          <t>Deleting provider session state removes 0 canonical records.</t>
        </is>
      </c>
      <c r="G75" s="14" t="inlineStr">
        <is>
          <t>synthetic demo set (labelled)</t>
        </is>
      </c>
      <c r="H75" s="14" t="inlineStr">
        <is>
          <t>D-C</t>
        </is>
      </c>
      <c r="I75" s="14" t="inlineStr">
        <is>
          <t>Not run — specification stage</t>
        </is>
      </c>
      <c r="J75" s="14" t="n"/>
      <c r="K75" s="14" t="n"/>
    </row>
    <row r="76" ht="21.75" customHeight="1" s="10">
      <c r="A76" s="14" t="inlineStr">
        <is>
          <t>TM-TST-073</t>
        </is>
      </c>
      <c r="B76" s="14" t="inlineStr">
        <is>
          <t>TM-REQ-073</t>
        </is>
      </c>
      <c r="C76" s="14" t="inlineStr">
        <is>
          <t>R0</t>
        </is>
      </c>
      <c r="D76" s="14" t="inlineStr">
        <is>
          <t>G6</t>
        </is>
      </c>
      <c r="E76" s="14" t="inlineStr">
        <is>
          <t>auto</t>
        </is>
      </c>
      <c r="F76" s="14" t="inlineStr">
        <is>
          <t>Malformed or out-of-scope tool arguments are rejected in 100% of 50 fuzz cases; text alone never mutates data.</t>
        </is>
      </c>
      <c r="G76" s="14" t="inlineStr">
        <is>
          <t>synthetic demo set (labelled)</t>
        </is>
      </c>
      <c r="H76" s="14" t="inlineStr">
        <is>
          <t>D-C</t>
        </is>
      </c>
      <c r="I76" s="14" t="inlineStr">
        <is>
          <t>Not run — specification stage</t>
        </is>
      </c>
      <c r="J76" s="14" t="n"/>
      <c r="K76" s="14" t="n"/>
    </row>
    <row r="77" ht="21.75" customHeight="1" s="10">
      <c r="A77" s="14" t="inlineStr">
        <is>
          <t>TM-TST-074</t>
        </is>
      </c>
      <c r="B77" s="14" t="inlineStr">
        <is>
          <t>TM-REQ-074</t>
        </is>
      </c>
      <c r="C77" s="14" t="inlineStr">
        <is>
          <t>R0</t>
        </is>
      </c>
      <c r="D77" s="14" t="inlineStr">
        <is>
          <t>G3</t>
        </is>
      </c>
      <c r="E77" s="14" t="inlineStr">
        <is>
          <t>auto</t>
        </is>
      </c>
      <c r="F77" s="14" t="inlineStr">
        <is>
          <t>Deterministic calculations give byte-identical output for identical inputs, independent of any model text (50 fixtures).</t>
        </is>
      </c>
      <c r="G77" s="14" t="inlineStr">
        <is>
          <t>synthetic demo set (labelled)</t>
        </is>
      </c>
      <c r="H77" s="14" t="n"/>
      <c r="I77" s="14" t="inlineStr">
        <is>
          <t>Not run — specification stage</t>
        </is>
      </c>
      <c r="J77" s="14" t="n"/>
      <c r="K77" s="14" t="n"/>
    </row>
    <row r="78" ht="15" customHeight="1" s="10">
      <c r="A78" s="14" t="inlineStr">
        <is>
          <t>TM-TST-075</t>
        </is>
      </c>
      <c r="B78" s="14" t="inlineStr">
        <is>
          <t>TM-REQ-075</t>
        </is>
      </c>
      <c r="C78" s="14" t="inlineStr">
        <is>
          <t>R0</t>
        </is>
      </c>
      <c r="D78" s="14" t="inlineStr">
        <is>
          <t>G6</t>
        </is>
      </c>
      <c r="E78" s="14" t="inlineStr">
        <is>
          <t>red-team</t>
        </is>
      </c>
      <c r="F78" s="14" t="inlineStr">
        <is>
          <t>30 injected instructions in pages/PDFs/images change no permissions, leak no secrets and trigger no tools.</t>
        </is>
      </c>
      <c r="G78" s="14" t="inlineStr">
        <is>
          <t>adversarial prompt/input set (versioned)</t>
        </is>
      </c>
      <c r="H78" s="14" t="inlineStr">
        <is>
          <t>D-C</t>
        </is>
      </c>
      <c r="I78" s="14" t="inlineStr">
        <is>
          <t>Not run — specification stage</t>
        </is>
      </c>
      <c r="J78" s="14" t="n"/>
      <c r="K78" s="14" t="n"/>
    </row>
    <row r="79" ht="15" customHeight="1" s="10">
      <c r="A79" s="14" t="inlineStr">
        <is>
          <t>TM-TST-076</t>
        </is>
      </c>
      <c r="B79" s="14" t="inlineStr">
        <is>
          <t>TM-REQ-076</t>
        </is>
      </c>
      <c r="C79" s="14" t="inlineStr">
        <is>
          <t>R1</t>
        </is>
      </c>
      <c r="D79" s="14" t="inlineStr">
        <is>
          <t>G4</t>
        </is>
      </c>
      <c r="E79" s="14" t="inlineStr">
        <is>
          <t>auto</t>
        </is>
      </c>
      <c r="F79" s="14" t="inlineStr">
        <is>
          <t>Unsupported claims are labelled unknown/inference; every source opens and matches the claim.</t>
        </is>
      </c>
      <c r="G79" s="14" t="inlineStr">
        <is>
          <t>synthetic demo set (labelled)</t>
        </is>
      </c>
      <c r="H79" s="14" t="n"/>
      <c r="I79" s="14" t="inlineStr">
        <is>
          <t>Not run — specification stage</t>
        </is>
      </c>
      <c r="J79" s="14" t="n"/>
      <c r="K79" s="14" t="n"/>
    </row>
    <row r="80" ht="21.75" customHeight="1" s="10">
      <c r="A80" s="14" t="inlineStr">
        <is>
          <t>TM-TST-077</t>
        </is>
      </c>
      <c r="B80" s="14" t="inlineStr">
        <is>
          <t>TM-REQ-077</t>
        </is>
      </c>
      <c r="C80" s="14" t="inlineStr">
        <is>
          <t>R0</t>
        </is>
      </c>
      <c r="D80" s="14" t="inlineStr">
        <is>
          <t>G6</t>
        </is>
      </c>
      <c r="E80" s="14" t="inlineStr">
        <is>
          <t>static-scan</t>
        </is>
      </c>
      <c r="F80" s="14" t="inlineStr">
        <is>
          <t>Payload audit shows only approved minimum fields leave the device; provider retention map is attached.</t>
        </is>
      </c>
      <c r="G80" s="14" t="inlineStr">
        <is>
          <t>code/bundle/UI-string scan + synthetic data</t>
        </is>
      </c>
      <c r="H80" s="14" t="inlineStr">
        <is>
          <t>D-C</t>
        </is>
      </c>
      <c r="I80" s="14" t="inlineStr">
        <is>
          <t>Not run — specification stage</t>
        </is>
      </c>
      <c r="J80" s="14" t="n"/>
      <c r="K80" s="14" t="n"/>
    </row>
    <row r="81" ht="21.75" customHeight="1" s="10">
      <c r="A81" s="14" t="inlineStr">
        <is>
          <t>TM-TST-078</t>
        </is>
      </c>
      <c r="B81" s="14" t="inlineStr">
        <is>
          <t>TM-REQ-078</t>
        </is>
      </c>
      <c r="C81" s="14" t="inlineStr">
        <is>
          <t>R0</t>
        </is>
      </c>
      <c r="D81" s="14" t="inlineStr">
        <is>
          <t>G6</t>
        </is>
      </c>
      <c r="E81" s="14" t="inlineStr">
        <is>
          <t>static-scan</t>
        </is>
      </c>
      <c r="F81" s="14" t="inlineStr">
        <is>
          <t>Static scan of app bundle finds 0 provider secrets; unauthenticated calls fail closed.</t>
        </is>
      </c>
      <c r="G81" s="14" t="inlineStr">
        <is>
          <t>code/bundle/UI-string scan + synthetic data</t>
        </is>
      </c>
      <c r="H81" s="14" t="inlineStr">
        <is>
          <t>D-C</t>
        </is>
      </c>
      <c r="I81" s="14" t="inlineStr">
        <is>
          <t>Not run — specification stage</t>
        </is>
      </c>
      <c r="J81" s="14" t="n"/>
      <c r="K81" s="14" t="n"/>
    </row>
    <row r="82" ht="15" customHeight="1" s="10">
      <c r="A82" s="14" t="inlineStr">
        <is>
          <t>TM-TST-079</t>
        </is>
      </c>
      <c r="B82" s="14" t="inlineStr">
        <is>
          <t>TM-REQ-079</t>
        </is>
      </c>
      <c r="C82" s="14" t="inlineStr">
        <is>
          <t>R0</t>
        </is>
      </c>
      <c r="D82" s="14" t="inlineStr">
        <is>
          <t>G6</t>
        </is>
      </c>
      <c r="E82" s="14" t="inlineStr">
        <is>
          <t>auto</t>
        </is>
      </c>
      <c r="F82" s="14" t="inlineStr">
        <is>
          <t>Over-budget requests stop with a clear message and never switch to a paid route silently.</t>
        </is>
      </c>
      <c r="G82" s="14" t="inlineStr">
        <is>
          <t>synthetic demo set (labelled)</t>
        </is>
      </c>
      <c r="H82" s="14" t="inlineStr">
        <is>
          <t>D-C</t>
        </is>
      </c>
      <c r="I82" s="14" t="inlineStr">
        <is>
          <t>Not run — specification stage</t>
        </is>
      </c>
      <c r="J82" s="14" t="n"/>
      <c r="K82" s="14" t="n"/>
    </row>
    <row r="83" ht="21.75" customHeight="1" s="10">
      <c r="A83" s="14" t="inlineStr">
        <is>
          <t>TM-TST-080</t>
        </is>
      </c>
      <c r="B83" s="14" t="inlineStr">
        <is>
          <t>TM-REQ-080</t>
        </is>
      </c>
      <c r="C83" s="14" t="inlineStr">
        <is>
          <t>R1</t>
        </is>
      </c>
      <c r="D83" s="14" t="inlineStr">
        <is>
          <t>G6</t>
        </is>
      </c>
      <c r="E83" s="14" t="inlineStr">
        <is>
          <t>auto</t>
        </is>
      </c>
      <c r="F83" s="14" t="inlineStr">
        <is>
          <t>A prompt/model/schema change cannot ship unless the regression suite passes; suite runs without vendor dashboards.</t>
        </is>
      </c>
      <c r="G83" s="14" t="inlineStr">
        <is>
          <t>synthetic demo set (labelled)</t>
        </is>
      </c>
      <c r="H83" s="14" t="inlineStr">
        <is>
          <t>D-C</t>
        </is>
      </c>
      <c r="I83" s="14" t="inlineStr">
        <is>
          <t>Not run — specification stage</t>
        </is>
      </c>
      <c r="J83" s="14" t="n"/>
      <c r="K83" s="14" t="n"/>
    </row>
    <row r="84" ht="21.75" customHeight="1" s="10">
      <c r="A84" s="14" t="inlineStr">
        <is>
          <t>TM-TST-081</t>
        </is>
      </c>
      <c r="B84" s="14" t="inlineStr">
        <is>
          <t>TM-REQ-081</t>
        </is>
      </c>
      <c r="C84" s="14" t="inlineStr">
        <is>
          <t>R1</t>
        </is>
      </c>
      <c r="D84" s="14" t="inlineStr">
        <is>
          <t>G6</t>
        </is>
      </c>
      <c r="E84" s="14" t="inlineStr">
        <is>
          <t>static-scan</t>
        </is>
      </c>
      <c r="F84" s="14" t="inlineStr">
        <is>
          <t>UI copy contains no continuous-learning claim; 'what changed' shows the exact saved data update.</t>
        </is>
      </c>
      <c r="G84" s="14" t="inlineStr">
        <is>
          <t>code/bundle/UI-string scan + synthetic data</t>
        </is>
      </c>
      <c r="H84" s="14" t="inlineStr">
        <is>
          <t>D-C</t>
        </is>
      </c>
      <c r="I84" s="14" t="inlineStr">
        <is>
          <t>Not run — specification stage</t>
        </is>
      </c>
      <c r="J84" s="14" t="n"/>
      <c r="K84" s="14" t="n"/>
    </row>
    <row r="85" ht="21.75" customHeight="1" s="10">
      <c r="A85" s="14" t="inlineStr">
        <is>
          <t>TM-TST-082</t>
        </is>
      </c>
      <c r="B85" s="14" t="inlineStr">
        <is>
          <t>TM-REQ-082</t>
        </is>
      </c>
      <c r="C85" s="14" t="inlineStr">
        <is>
          <t>R0</t>
        </is>
      </c>
      <c r="D85" s="14" t="inlineStr">
        <is>
          <t>G6</t>
        </is>
      </c>
      <c r="E85" s="14" t="inlineStr">
        <is>
          <t>red-team</t>
        </is>
      </c>
      <c r="F85" s="14" t="inlineStr">
        <is>
          <t>A tool cannot read outside the user's scope or perform payment/publish/sign without approval (20 attempts).</t>
        </is>
      </c>
      <c r="G85" s="14" t="inlineStr">
        <is>
          <t>adversarial prompt/input set (versioned)</t>
        </is>
      </c>
      <c r="H85" s="14" t="inlineStr">
        <is>
          <t>D-C</t>
        </is>
      </c>
      <c r="I85" s="14" t="inlineStr">
        <is>
          <t>Not run — specification stage</t>
        </is>
      </c>
      <c r="J85" s="14" t="n"/>
      <c r="K85" s="14" t="n"/>
    </row>
    <row r="86" ht="15" customHeight="1" s="10">
      <c r="A86" s="14" t="inlineStr">
        <is>
          <t>TM-TST-083</t>
        </is>
      </c>
      <c r="B86" s="14" t="inlineStr">
        <is>
          <t>TM-REQ-083</t>
        </is>
      </c>
      <c r="C86" s="14" t="inlineStr">
        <is>
          <t>R1</t>
        </is>
      </c>
      <c r="D86" s="14" t="inlineStr">
        <is>
          <t>G6</t>
        </is>
      </c>
      <c r="E86" s="14" t="inlineStr">
        <is>
          <t>auto</t>
        </is>
      </c>
      <c r="F86" s="14" t="inlineStr">
        <is>
          <t>Switching or disabling the AI provider preserves all accepted plans and deterministic results.</t>
        </is>
      </c>
      <c r="G86" s="14" t="inlineStr">
        <is>
          <t>synthetic demo set (labelled)</t>
        </is>
      </c>
      <c r="H86" s="14" t="inlineStr">
        <is>
          <t>D-C</t>
        </is>
      </c>
      <c r="I86" s="14" t="inlineStr">
        <is>
          <t>Not run — specification stage</t>
        </is>
      </c>
      <c r="J86" s="14" t="n"/>
      <c r="K86" s="14" t="n"/>
    </row>
    <row r="87" ht="21.75" customHeight="1" s="10">
      <c r="A87" s="14" t="inlineStr">
        <is>
          <t>TM-TST-084</t>
        </is>
      </c>
      <c r="B87" s="14" t="inlineStr">
        <is>
          <t>TM-REQ-084</t>
        </is>
      </c>
      <c r="C87" s="14" t="inlineStr">
        <is>
          <t>R0</t>
        </is>
      </c>
      <c r="D87" s="14" t="inlineStr">
        <is>
          <t>G2</t>
        </is>
      </c>
      <c r="E87" s="14" t="inlineStr">
        <is>
          <t>device</t>
        </is>
      </c>
      <c r="F87" s="14" t="inlineStr">
        <is>
          <t>Airplane-mode run: reading and editing core records works; network-only features are labelled.</t>
        </is>
      </c>
      <c r="G87" s="14" t="inlineStr">
        <is>
          <t>real Android device matrix + synthetic data</t>
        </is>
      </c>
      <c r="H87" s="14" t="inlineStr">
        <is>
          <t>D-A</t>
        </is>
      </c>
      <c r="I87" s="14" t="inlineStr">
        <is>
          <t>Not run — specification stage</t>
        </is>
      </c>
      <c r="J87" s="14" t="n"/>
      <c r="K87" s="14" t="n"/>
    </row>
    <row r="88" ht="21.75" customHeight="1" s="10">
      <c r="A88" s="14" t="inlineStr">
        <is>
          <t>TM-TST-085</t>
        </is>
      </c>
      <c r="B88" s="14" t="inlineStr">
        <is>
          <t>TM-REQ-085</t>
        </is>
      </c>
      <c r="C88" s="14" t="inlineStr">
        <is>
          <t>R0</t>
        </is>
      </c>
      <c r="D88" s="14" t="inlineStr">
        <is>
          <t>G2</t>
        </is>
      </c>
      <c r="E88" s="14" t="inlineStr">
        <is>
          <t>device</t>
        </is>
      </c>
      <c r="F88" s="14" t="inlineStr">
        <is>
          <t>Replaying the same queued operation 5 times produces 1 logical record.</t>
        </is>
      </c>
      <c r="G88" s="14" t="inlineStr">
        <is>
          <t>real Android device matrix + synthetic data</t>
        </is>
      </c>
      <c r="H88" s="14" t="inlineStr">
        <is>
          <t>D-A</t>
        </is>
      </c>
      <c r="I88" s="14" t="inlineStr">
        <is>
          <t>Not run — specification stage</t>
        </is>
      </c>
      <c r="J88" s="14" t="n"/>
      <c r="K88" s="14" t="n"/>
    </row>
    <row r="89" ht="21.75" customHeight="1" s="10">
      <c r="A89" s="14" t="inlineStr">
        <is>
          <t>TM-TST-086</t>
        </is>
      </c>
      <c r="B89" s="14" t="inlineStr">
        <is>
          <t>TM-REQ-086</t>
        </is>
      </c>
      <c r="C89" s="14" t="inlineStr">
        <is>
          <t>R0</t>
        </is>
      </c>
      <c r="D89" s="14" t="inlineStr">
        <is>
          <t>G2</t>
        </is>
      </c>
      <c r="E89" s="14" t="inlineStr">
        <is>
          <t>device</t>
        </is>
      </c>
      <c r="F89" s="14" t="inlineStr">
        <is>
          <t>Two-device conflicting edits are detected in 100% of 20 cases and resolved with history.</t>
        </is>
      </c>
      <c r="G89" s="14" t="inlineStr">
        <is>
          <t>real Android device matrix + synthetic data</t>
        </is>
      </c>
      <c r="H89" s="14" t="inlineStr">
        <is>
          <t>D-A</t>
        </is>
      </c>
      <c r="I89" s="14" t="inlineStr">
        <is>
          <t>Not run — specification stage</t>
        </is>
      </c>
      <c r="J89" s="14" t="n"/>
      <c r="K89" s="14" t="n"/>
    </row>
    <row r="90" ht="21.75" customHeight="1" s="10">
      <c r="A90" s="14" t="inlineStr">
        <is>
          <t>TM-TST-087</t>
        </is>
      </c>
      <c r="B90" s="14" t="inlineStr">
        <is>
          <t>TM-REQ-087</t>
        </is>
      </c>
      <c r="C90" s="14" t="inlineStr">
        <is>
          <t>R1</t>
        </is>
      </c>
      <c r="D90" s="14" t="inlineStr">
        <is>
          <t>G2</t>
        </is>
      </c>
      <c r="E90" s="14" t="inlineStr">
        <is>
          <t>device</t>
        </is>
      </c>
      <c r="F90" s="14" t="inlineStr">
        <is>
          <t>Unsynced, stale and error states are visible; no 'saved to cloud' text appears while unsynced.</t>
        </is>
      </c>
      <c r="G90" s="14" t="inlineStr">
        <is>
          <t>real Android device matrix + synthetic data</t>
        </is>
      </c>
      <c r="H90" s="14" t="inlineStr">
        <is>
          <t>D-A</t>
        </is>
      </c>
      <c r="I90" s="14" t="inlineStr">
        <is>
          <t>Not run — specification stage</t>
        </is>
      </c>
      <c r="J90" s="14" t="n"/>
      <c r="K90" s="14" t="n"/>
    </row>
    <row r="91" ht="21.75" customHeight="1" s="10">
      <c r="A91" s="14" t="inlineStr">
        <is>
          <t>TM-TST-088</t>
        </is>
      </c>
      <c r="B91" s="14" t="inlineStr">
        <is>
          <t>TM-REQ-088</t>
        </is>
      </c>
      <c r="C91" s="14" t="inlineStr">
        <is>
          <t>R0</t>
        </is>
      </c>
      <c r="D91" s="14" t="inlineStr">
        <is>
          <t>G2</t>
        </is>
      </c>
      <c r="E91" s="14" t="inlineStr">
        <is>
          <t>device</t>
        </is>
      </c>
      <c r="F91" s="14" t="inlineStr">
        <is>
          <t>A clean device restores data, relationships, settings and attachments with a verified checksum; a corrupt backup is rejected.</t>
        </is>
      </c>
      <c r="G91" s="14" t="inlineStr">
        <is>
          <t>real Android device matrix + synthetic data</t>
        </is>
      </c>
      <c r="H91" s="14" t="inlineStr">
        <is>
          <t>D-A</t>
        </is>
      </c>
      <c r="I91" s="14" t="inlineStr">
        <is>
          <t>Not run — specification stage</t>
        </is>
      </c>
      <c r="J91" s="14" t="n"/>
      <c r="K91" s="14" t="n"/>
    </row>
    <row r="92" ht="21.75" customHeight="1" s="10">
      <c r="A92" s="14" t="inlineStr">
        <is>
          <t>TM-TST-089</t>
        </is>
      </c>
      <c r="B92" s="14" t="inlineStr">
        <is>
          <t>TM-REQ-089</t>
        </is>
      </c>
      <c r="C92" s="14" t="inlineStr">
        <is>
          <t>R1</t>
        </is>
      </c>
      <c r="D92" s="14" t="inlineStr">
        <is>
          <t>G2</t>
        </is>
      </c>
      <c r="E92" s="14" t="inlineStr">
        <is>
          <t>device</t>
        </is>
      </c>
      <c r="F92" s="14" t="inlineStr">
        <is>
          <t>Upgrade from the previous schema keeps 100% of records; a failed migration leaves the old data usable.</t>
        </is>
      </c>
      <c r="G92" s="14" t="inlineStr">
        <is>
          <t>real Android device matrix + synthetic data</t>
        </is>
      </c>
      <c r="H92" s="14" t="inlineStr">
        <is>
          <t>D-A</t>
        </is>
      </c>
      <c r="I92" s="14" t="inlineStr">
        <is>
          <t>Not run — specification stage</t>
        </is>
      </c>
      <c r="J92" s="14" t="n"/>
      <c r="K92" s="14" t="n"/>
    </row>
    <row r="93" ht="21.75" customHeight="1" s="10">
      <c r="A93" s="14" t="inlineStr">
        <is>
          <t>TM-TST-090</t>
        </is>
      </c>
      <c r="B93" s="14" t="inlineStr">
        <is>
          <t>TM-REQ-090</t>
        </is>
      </c>
      <c r="C93" s="14" t="inlineStr">
        <is>
          <t>R1</t>
        </is>
      </c>
      <c r="D93" s="14" t="inlineStr">
        <is>
          <t>G7</t>
        </is>
      </c>
      <c r="E93" s="14" t="inlineStr">
        <is>
          <t>device</t>
        </is>
      </c>
      <c r="F93" s="14" t="inlineStr">
        <is>
          <t>A revoked or lost device cannot re-sync protected data.</t>
        </is>
      </c>
      <c r="G93" s="14" t="inlineStr">
        <is>
          <t>real Android device matrix + synthetic data</t>
        </is>
      </c>
      <c r="H93" s="14" t="inlineStr">
        <is>
          <t>D-A</t>
        </is>
      </c>
      <c r="I93" s="14" t="inlineStr">
        <is>
          <t>Not run — specification stage</t>
        </is>
      </c>
      <c r="J93" s="14" t="n"/>
      <c r="K93" s="14" t="n"/>
    </row>
    <row r="94" ht="15" customHeight="1" s="10">
      <c r="A94" s="14" t="inlineStr">
        <is>
          <t>TM-TST-091</t>
        </is>
      </c>
      <c r="B94" s="14" t="inlineStr">
        <is>
          <t>TM-REQ-091</t>
        </is>
      </c>
      <c r="C94" s="14" t="inlineStr">
        <is>
          <t>R1</t>
        </is>
      </c>
      <c r="D94" s="14" t="inlineStr">
        <is>
          <t>G5</t>
        </is>
      </c>
      <c r="E94" s="14" t="inlineStr">
        <is>
          <t>auto</t>
        </is>
      </c>
      <c r="F94" s="14" t="inlineStr">
        <is>
          <t>Offline religious schedules show last-checked, source, method and calculated/tentative/confirmed status.</t>
        </is>
      </c>
      <c r="G94" s="14" t="inlineStr">
        <is>
          <t>synthetic demo set (labelled)</t>
        </is>
      </c>
      <c r="H94" s="14" t="inlineStr">
        <is>
          <t>D-D</t>
        </is>
      </c>
      <c r="I94" s="14" t="inlineStr">
        <is>
          <t>Not run — specification stage</t>
        </is>
      </c>
      <c r="J94" s="14" t="n"/>
      <c r="K94" s="14" t="n"/>
    </row>
    <row r="95" ht="21.75" customHeight="1" s="10">
      <c r="A95" s="14" t="inlineStr">
        <is>
          <t>TM-TST-092</t>
        </is>
      </c>
      <c r="B95" s="14" t="inlineStr">
        <is>
          <t>TM-REQ-092</t>
        </is>
      </c>
      <c r="C95" s="14" t="inlineStr">
        <is>
          <t>R0</t>
        </is>
      </c>
      <c r="D95" s="14" t="inlineStr">
        <is>
          <t>G1</t>
        </is>
      </c>
      <c r="E95" s="14" t="inlineStr">
        <is>
          <t>static-scan</t>
        </is>
      </c>
      <c r="F95" s="14" t="inlineStr">
        <is>
          <t>Field inventory lists purpose and access rule for 100% of fields; unnecessary sensitive fields can be turned off.</t>
        </is>
      </c>
      <c r="G95" s="14" t="inlineStr">
        <is>
          <t>code/bundle/UI-string scan + synthetic data</t>
        </is>
      </c>
      <c r="H95" s="14" t="inlineStr">
        <is>
          <t>D-B</t>
        </is>
      </c>
      <c r="I95" s="14" t="inlineStr">
        <is>
          <t>Pass (G1) — G1 automated: 100% fields have purpose + access rule + privacy class; sensitive fields never required</t>
        </is>
      </c>
      <c r="J95" s="14" t="inlineStr">
        <is>
          <t>evidence/catalog-report.json; tests/g1.test.ts</t>
        </is>
      </c>
      <c r="K95" s="14" t="n"/>
    </row>
    <row r="96" ht="15" customHeight="1" s="10">
      <c r="A96" s="14" t="inlineStr">
        <is>
          <t>TM-TST-093</t>
        </is>
      </c>
      <c r="B96" s="14" t="inlineStr">
        <is>
          <t>TM-REQ-093</t>
        </is>
      </c>
      <c r="C96" s="14" t="inlineStr">
        <is>
          <t>R0</t>
        </is>
      </c>
      <c r="D96" s="14" t="inlineStr">
        <is>
          <t>G7</t>
        </is>
      </c>
      <c r="E96" s="14" t="inlineStr">
        <is>
          <t>auto</t>
        </is>
      </c>
      <c r="F96" s="14" t="inlineStr">
        <is>
          <t>Declining optional consent blocks 0 unrelated core features; revoking stops future collection.</t>
        </is>
      </c>
      <c r="G96" s="14" t="inlineStr">
        <is>
          <t>synthetic demo set (labelled)</t>
        </is>
      </c>
      <c r="H96" s="14" t="inlineStr">
        <is>
          <t>D-B</t>
        </is>
      </c>
      <c r="I96" s="14" t="inlineStr">
        <is>
          <t>Not run — specification stage</t>
        </is>
      </c>
      <c r="J96" s="14" t="n"/>
      <c r="K96" s="14" t="n"/>
    </row>
    <row r="97" ht="15" customHeight="1" s="10">
      <c r="A97" s="14" t="inlineStr">
        <is>
          <t>TM-TST-094</t>
        </is>
      </c>
      <c r="B97" s="14" t="inlineStr">
        <is>
          <t>TM-REQ-094</t>
        </is>
      </c>
      <c r="C97" s="14" t="inlineStr">
        <is>
          <t>R0</t>
        </is>
      </c>
      <c r="D97" s="14" t="inlineStr">
        <is>
          <t>G7</t>
        </is>
      </c>
      <c r="E97" s="14" t="inlineStr">
        <is>
          <t>auto</t>
        </is>
      </c>
      <c r="F97" s="14" t="inlineStr">
        <is>
          <t>Export, correction and deletion each produce an auditable report listing retained items.</t>
        </is>
      </c>
      <c r="G97" s="14" t="inlineStr">
        <is>
          <t>synthetic demo set (labelled)</t>
        </is>
      </c>
      <c r="H97" s="14" t="inlineStr">
        <is>
          <t>D-B</t>
        </is>
      </c>
      <c r="I97" s="14" t="inlineStr">
        <is>
          <t>Not run — specification stage</t>
        </is>
      </c>
      <c r="J97" s="14" t="n"/>
      <c r="K97" s="14" t="n"/>
    </row>
    <row r="98" ht="21.75" customHeight="1" s="10">
      <c r="A98" s="14" t="inlineStr">
        <is>
          <t>TM-TST-095</t>
        </is>
      </c>
      <c r="B98" s="14" t="inlineStr">
        <is>
          <t>TM-REQ-095</t>
        </is>
      </c>
      <c r="C98" s="14" t="inlineStr">
        <is>
          <t>R0</t>
        </is>
      </c>
      <c r="D98" s="14" t="inlineStr">
        <is>
          <t>G7</t>
        </is>
      </c>
      <c r="E98" s="14" t="inlineStr">
        <is>
          <t>human-review</t>
        </is>
      </c>
      <c r="F98" s="14" t="inlineStr">
        <is>
          <t>Written review by a qualified lawyer on applicability of the current personal-data law; no compliance claim before it.</t>
        </is>
      </c>
      <c r="G98" s="14" t="inlineStr">
        <is>
          <t>review pack + synthetic data</t>
        </is>
      </c>
      <c r="H98" s="14" t="inlineStr">
        <is>
          <t>D-B</t>
        </is>
      </c>
      <c r="I98" s="14" t="inlineStr">
        <is>
          <t>Not run — specification stage</t>
        </is>
      </c>
      <c r="J98" s="14" t="n"/>
      <c r="K98" s="14" t="n"/>
    </row>
    <row r="99" ht="21.75" customHeight="1" s="10">
      <c r="A99" s="14" t="inlineStr">
        <is>
          <t>TM-TST-096</t>
        </is>
      </c>
      <c r="B99" s="14" t="inlineStr">
        <is>
          <t>TM-REQ-096</t>
        </is>
      </c>
      <c r="C99" s="14" t="inlineStr">
        <is>
          <t>R0</t>
        </is>
      </c>
      <c r="D99" s="14" t="inlineStr">
        <is>
          <t>G7</t>
        </is>
      </c>
      <c r="E99" s="14" t="inlineStr">
        <is>
          <t>device</t>
        </is>
      </c>
      <c r="F99" s="14" t="inlineStr">
        <is>
          <t>Cross-user access tests fail closed; sensitive values absent from logs and exports (static + runtime).</t>
        </is>
      </c>
      <c r="G99" s="14" t="inlineStr">
        <is>
          <t>real Android device matrix + synthetic data</t>
        </is>
      </c>
      <c r="H99" s="14" t="inlineStr">
        <is>
          <t>D-B</t>
        </is>
      </c>
      <c r="I99" s="14" t="inlineStr">
        <is>
          <t>Not run — specification stage</t>
        </is>
      </c>
      <c r="J99" s="14" t="n"/>
      <c r="K99" s="14" t="n"/>
    </row>
    <row r="100" ht="21.75" customHeight="1" s="10">
      <c r="A100" s="14" t="inlineStr">
        <is>
          <t>TM-TST-097</t>
        </is>
      </c>
      <c r="B100" s="14" t="inlineStr">
        <is>
          <t>TM-REQ-097</t>
        </is>
      </c>
      <c r="C100" s="14" t="inlineStr">
        <is>
          <t>R1</t>
        </is>
      </c>
      <c r="D100" s="14" t="inlineStr">
        <is>
          <t>G7</t>
        </is>
      </c>
      <c r="E100" s="14" t="inlineStr">
        <is>
          <t>static-scan</t>
        </is>
      </c>
      <c r="F100" s="14" t="inlineStr">
        <is>
          <t>Audit logs contain no secrets or full sensitive payloads (log scan).</t>
        </is>
      </c>
      <c r="G100" s="14" t="inlineStr">
        <is>
          <t>code/bundle/UI-string scan + synthetic data</t>
        </is>
      </c>
      <c r="H100" s="14" t="inlineStr">
        <is>
          <t>D-B</t>
        </is>
      </c>
      <c r="I100" s="14" t="inlineStr">
        <is>
          <t>Not run — specification stage</t>
        </is>
      </c>
      <c r="J100" s="14" t="n"/>
      <c r="K100" s="14" t="n"/>
    </row>
    <row r="101" ht="15" customHeight="1" s="10">
      <c r="A101" s="14" t="inlineStr">
        <is>
          <t>TM-TST-098</t>
        </is>
      </c>
      <c r="B101" s="14" t="inlineStr">
        <is>
          <t>TM-REQ-098</t>
        </is>
      </c>
      <c r="C101" s="14" t="inlineStr">
        <is>
          <t>R0</t>
        </is>
      </c>
      <c r="D101" s="14" t="inlineStr">
        <is>
          <t>G7</t>
        </is>
      </c>
      <c r="E101" s="14" t="inlineStr">
        <is>
          <t>human-review</t>
        </is>
      </c>
      <c r="F101" s="14" t="inlineStr">
        <is>
          <t>Incident drill: simulated compromise contained and users informed per reviewed runbook.</t>
        </is>
      </c>
      <c r="G101" s="14" t="inlineStr">
        <is>
          <t>review pack + synthetic data</t>
        </is>
      </c>
      <c r="H101" s="14" t="inlineStr">
        <is>
          <t>D-B</t>
        </is>
      </c>
      <c r="I101" s="14" t="inlineStr">
        <is>
          <t>Not run — specification stage</t>
        </is>
      </c>
      <c r="J101" s="14" t="n"/>
      <c r="K101" s="14" t="n"/>
    </row>
    <row r="102" ht="15" customHeight="1" s="10">
      <c r="A102" s="14" t="inlineStr">
        <is>
          <t>TM-TST-099</t>
        </is>
      </c>
      <c r="B102" s="14" t="inlineStr">
        <is>
          <t>TM-REQ-099</t>
        </is>
      </c>
      <c r="C102" s="14" t="inlineStr">
        <is>
          <t>R1</t>
        </is>
      </c>
      <c r="D102" s="14" t="inlineStr">
        <is>
          <t>G7</t>
        </is>
      </c>
      <c r="E102" s="14" t="inlineStr">
        <is>
          <t>human-review</t>
        </is>
      </c>
      <c r="F102" s="14" t="inlineStr">
        <is>
          <t>Privacy notice is shown before sensitive input; wording matches actual data flows (reviewer sign-off).</t>
        </is>
      </c>
      <c r="G102" s="14" t="inlineStr">
        <is>
          <t>review pack + synthetic data</t>
        </is>
      </c>
      <c r="H102" s="14" t="inlineStr">
        <is>
          <t>D-B</t>
        </is>
      </c>
      <c r="I102" s="14" t="inlineStr">
        <is>
          <t>Not run — specification stage</t>
        </is>
      </c>
      <c r="J102" s="14" t="n"/>
      <c r="K102" s="14" t="n"/>
    </row>
    <row r="103" ht="21.75" customHeight="1" s="10">
      <c r="A103" s="14" t="inlineStr">
        <is>
          <t>TM-TST-100</t>
        </is>
      </c>
      <c r="B103" s="14" t="inlineStr">
        <is>
          <t>TM-REQ-100</t>
        </is>
      </c>
      <c r="C103" s="14" t="inlineStr">
        <is>
          <t>R0</t>
        </is>
      </c>
      <c r="D103" s="14" t="inlineStr">
        <is>
          <t>G1</t>
        </is>
      </c>
      <c r="E103" s="14" t="inlineStr">
        <is>
          <t>static-scan</t>
        </is>
      </c>
      <c r="F103" s="14" t="inlineStr">
        <is>
          <t>UI strings and code contain 0 piety score, rank, leaderboard or acceptance claim; user controls what is tracked.</t>
        </is>
      </c>
      <c r="G103" s="14" t="inlineStr">
        <is>
          <t>code/bundle/UI-string scan + synthetic data</t>
        </is>
      </c>
      <c r="H103" s="14" t="n"/>
      <c r="I103" s="14" t="inlineStr">
        <is>
          <t>Pass (G1) — G1 automated: 0 piety score/rank/leaderboard/acceptance wording in strings, catalog and source</t>
        </is>
      </c>
      <c r="J103" s="14" t="inlineStr">
        <is>
          <t>tests/g1.test.ts</t>
        </is>
      </c>
      <c r="K103" s="14" t="n"/>
    </row>
    <row r="104" ht="21.75" customHeight="1" s="10">
      <c r="A104" s="14" t="inlineStr">
        <is>
          <t>TM-TST-101</t>
        </is>
      </c>
      <c r="B104" s="14" t="inlineStr">
        <is>
          <t>TM-REQ-101</t>
        </is>
      </c>
      <c r="C104" s="14" t="inlineStr">
        <is>
          <t>R1</t>
        </is>
      </c>
      <c r="D104" s="14" t="inlineStr">
        <is>
          <t>G5</t>
        </is>
      </c>
      <c r="E104" s="14" t="inlineStr">
        <is>
          <t>device</t>
        </is>
      </c>
      <c r="F104" s="14" t="inlineStr">
        <is>
          <t>Prayer times show method/source/as-of; timezone and travel settings change times correctly in 10 test cities; manual entry works.</t>
        </is>
      </c>
      <c r="G104" s="14" t="inlineStr">
        <is>
          <t>real Android device matrix + synthetic data</t>
        </is>
      </c>
      <c r="H104" s="14" t="n"/>
      <c r="I104" s="14" t="inlineStr">
        <is>
          <t>Not run — specification stage</t>
        </is>
      </c>
      <c r="J104" s="14" t="n"/>
      <c r="K104" s="14" t="n"/>
    </row>
    <row r="105" ht="21.75" customHeight="1" s="10">
      <c r="A105" s="14" t="inlineStr">
        <is>
          <t>TM-TST-102</t>
        </is>
      </c>
      <c r="B105" s="14" t="inlineStr">
        <is>
          <t>TM-REQ-102</t>
        </is>
      </c>
      <c r="C105" s="14" t="inlineStr">
        <is>
          <t>R1</t>
        </is>
      </c>
      <c r="D105" s="14" t="inlineStr">
        <is>
          <t>G5</t>
        </is>
      </c>
      <c r="E105" s="14" t="inlineStr">
        <is>
          <t>device</t>
        </is>
      </c>
      <c r="F105" s="14" t="inlineStr">
        <is>
          <t>Qibla/time features give accuracy and permission notes and work manually when sensors/location are off.</t>
        </is>
      </c>
      <c r="G105" s="14" t="inlineStr">
        <is>
          <t>real Android device matrix + synthetic data</t>
        </is>
      </c>
      <c r="H105" s="14" t="inlineStr">
        <is>
          <t>D-D</t>
        </is>
      </c>
      <c r="I105" s="14" t="inlineStr">
        <is>
          <t>Not run — specification stage</t>
        </is>
      </c>
      <c r="J105" s="14" t="n"/>
      <c r="K105" s="14" t="n"/>
    </row>
    <row r="106" ht="21.75" customHeight="1" s="10">
      <c r="A106" s="14" t="inlineStr">
        <is>
          <t>TM-TST-103</t>
        </is>
      </c>
      <c r="B106" s="14" t="inlineStr">
        <is>
          <t>TM-REQ-103</t>
        </is>
      </c>
      <c r="C106" s="14" t="inlineStr">
        <is>
          <t>R0</t>
        </is>
      </c>
      <c r="D106" s="14" t="inlineStr">
        <is>
          <t>G5</t>
        </is>
      </c>
      <c r="E106" s="14" t="inlineStr">
        <is>
          <t>human-review</t>
        </is>
      </c>
      <c r="F106" s="14" t="inlineStr">
        <is>
          <t>Scripture shown only from a licensed, verified source; partial datasets never labelled complete; verse-count and sample-reference checks pass; licence file attached.</t>
        </is>
      </c>
      <c r="G106" s="14" t="inlineStr">
        <is>
          <t>review pack + synthetic data</t>
        </is>
      </c>
      <c r="H106" s="14" t="inlineStr">
        <is>
          <t>D-D</t>
        </is>
      </c>
      <c r="I106" s="14" t="inlineStr">
        <is>
          <t>Not run — specification stage</t>
        </is>
      </c>
      <c r="J106" s="14" t="n"/>
      <c r="K106" s="14" t="n"/>
    </row>
    <row r="107" ht="15" customHeight="1" s="10">
      <c r="A107" s="14" t="inlineStr">
        <is>
          <t>TM-TST-104</t>
        </is>
      </c>
      <c r="B107" s="14" t="inlineStr">
        <is>
          <t>TM-REQ-104</t>
        </is>
      </c>
      <c r="C107" s="14" t="inlineStr">
        <is>
          <t>R0</t>
        </is>
      </c>
      <c r="D107" s="14" t="inlineStr">
        <is>
          <t>G5</t>
        </is>
      </c>
      <c r="E107" s="14" t="inlineStr">
        <is>
          <t>human-review</t>
        </is>
      </c>
      <c r="F107" s="14" t="inlineStr">
        <is>
          <t>Unverified quotations fail tests; hard cases route to a qualified scholar path; reviewer sign-off.</t>
        </is>
      </c>
      <c r="G107" s="14" t="inlineStr">
        <is>
          <t>review pack + synthetic data</t>
        </is>
      </c>
      <c r="H107" s="14" t="inlineStr">
        <is>
          <t>D-D</t>
        </is>
      </c>
      <c r="I107" s="14" t="inlineStr">
        <is>
          <t>Not run — specification stage</t>
        </is>
      </c>
      <c r="J107" s="14" t="n"/>
      <c r="K107" s="14" t="n"/>
    </row>
    <row r="108" ht="21.75" customHeight="1" s="10">
      <c r="A108" s="14" t="inlineStr">
        <is>
          <t>TM-TST-105</t>
        </is>
      </c>
      <c r="B108" s="14" t="inlineStr">
        <is>
          <t>TM-REQ-105</t>
        </is>
      </c>
      <c r="C108" s="14" t="inlineStr">
        <is>
          <t>R1</t>
        </is>
      </c>
      <c r="D108" s="14" t="inlineStr">
        <is>
          <t>G5</t>
        </is>
      </c>
      <c r="E108" s="14" t="inlineStr">
        <is>
          <t>auto</t>
        </is>
      </c>
      <c r="F108" s="14" t="inlineStr">
        <is>
          <t>Tool never infers a fasting obligation from health data and gives no definitive fidya/kaffara ruling (20 prompts).</t>
        </is>
      </c>
      <c r="G108" s="14" t="inlineStr">
        <is>
          <t>synthetic demo set (labelled)</t>
        </is>
      </c>
      <c r="H108" s="14" t="n"/>
      <c r="I108" s="14" t="inlineStr">
        <is>
          <t>Not run — specification stage</t>
        </is>
      </c>
      <c r="J108" s="14" t="n"/>
      <c r="K108" s="14" t="n"/>
    </row>
    <row r="109" ht="21.75" customHeight="1" s="10">
      <c r="A109" s="14" t="inlineStr">
        <is>
          <t>TM-TST-106</t>
        </is>
      </c>
      <c r="B109" s="14" t="inlineStr">
        <is>
          <t>TM-REQ-106</t>
        </is>
      </c>
      <c r="C109" s="14" t="inlineStr">
        <is>
          <t>R0</t>
        </is>
      </c>
      <c r="D109" s="14" t="inlineStr">
        <is>
          <t>G5</t>
        </is>
      </c>
      <c r="E109" s="14" t="inlineStr">
        <is>
          <t>auto</t>
        </is>
      </c>
      <c r="F109" s="14" t="inlineStr">
        <is>
          <t>Zakat totals recompute from line items and rule version; uncertain ownership/debt items are flagged for scholar check.</t>
        </is>
      </c>
      <c r="G109" s="14" t="inlineStr">
        <is>
          <t>synthetic demo set (labelled)</t>
        </is>
      </c>
      <c r="H109" s="14" t="n"/>
      <c r="I109" s="14" t="inlineStr">
        <is>
          <t>Not run — specification stage</t>
        </is>
      </c>
      <c r="J109" s="14" t="n"/>
      <c r="K109" s="14" t="n"/>
    </row>
    <row r="110" ht="15" customHeight="1" s="10">
      <c r="A110" s="14" t="inlineStr">
        <is>
          <t>TM-TST-107</t>
        </is>
      </c>
      <c r="B110" s="14" t="inlineStr">
        <is>
          <t>TM-REQ-107</t>
        </is>
      </c>
      <c r="C110" s="14" t="inlineStr">
        <is>
          <t>R1</t>
        </is>
      </c>
      <c r="D110" s="14" t="inlineStr">
        <is>
          <t>G5</t>
        </is>
      </c>
      <c r="E110" s="14" t="inlineStr">
        <is>
          <t>auto</t>
        </is>
      </c>
      <c r="F110" s="14" t="inlineStr">
        <is>
          <t>Changing household count or local rate updates only the Fitrah figure, not annual Zakat.</t>
        </is>
      </c>
      <c r="G110" s="14" t="inlineStr">
        <is>
          <t>synthetic demo set (labelled)</t>
        </is>
      </c>
      <c r="H110" s="14" t="n"/>
      <c r="I110" s="14" t="inlineStr">
        <is>
          <t>Not run — specification stage</t>
        </is>
      </c>
      <c r="J110" s="14" t="n"/>
      <c r="K110" s="14" t="n"/>
    </row>
    <row r="111" ht="21.75" customHeight="1" s="10">
      <c r="A111" s="14" t="inlineStr">
        <is>
          <t>TM-TST-108</t>
        </is>
      </c>
      <c r="B111" s="14" t="inlineStr">
        <is>
          <t>TM-REQ-108</t>
        </is>
      </c>
      <c r="C111" s="14" t="inlineStr">
        <is>
          <t>R0</t>
        </is>
      </c>
      <c r="D111" s="14" t="inlineStr">
        <is>
          <t>G5</t>
        </is>
      </c>
      <c r="E111" s="14" t="inlineStr">
        <is>
          <t>human-review</t>
        </is>
      </c>
      <c r="F111" s="14" t="inlineStr">
        <is>
          <t>Old Hajj dates/packages show stale; booking/payment requires a current official-source check and explicit confirm.</t>
        </is>
      </c>
      <c r="G111" s="14" t="inlineStr">
        <is>
          <t>review pack + synthetic data</t>
        </is>
      </c>
      <c r="H111" s="14" t="n"/>
      <c r="I111" s="14" t="inlineStr">
        <is>
          <t>Not run — specification stage</t>
        </is>
      </c>
      <c r="J111" s="14" t="n"/>
      <c r="K111" s="14" t="n"/>
    </row>
    <row r="112" ht="21.75" customHeight="1" s="10">
      <c r="A112" s="14" t="inlineStr">
        <is>
          <t>TM-TST-109</t>
        </is>
      </c>
      <c r="B112" s="14" t="inlineStr">
        <is>
          <t>TM-REQ-109</t>
        </is>
      </c>
      <c r="C112" s="14" t="inlineStr">
        <is>
          <t>R1</t>
        </is>
      </c>
      <c r="D112" s="14" t="inlineStr">
        <is>
          <t>G5</t>
        </is>
      </c>
      <c r="E112" s="14" t="inlineStr">
        <is>
          <t>auto</t>
        </is>
      </c>
      <c r="F112" s="14" t="inlineStr">
        <is>
          <t>Zakat is never counted as general sadaqah unless the user sets it; Qurbani and waqf are separate record types.</t>
        </is>
      </c>
      <c r="G112" s="14" t="inlineStr">
        <is>
          <t>synthetic demo set (labelled)</t>
        </is>
      </c>
      <c r="H112" s="14" t="n"/>
      <c r="I112" s="14" t="inlineStr">
        <is>
          <t>Not run — specification stage</t>
        </is>
      </c>
      <c r="J112" s="14" t="n"/>
      <c r="K112" s="14" t="n"/>
    </row>
    <row r="113" ht="21.75" customHeight="1" s="10">
      <c r="A113" s="14" t="inlineStr">
        <is>
          <t>TM-TST-110</t>
        </is>
      </c>
      <c r="B113" s="14" t="inlineStr">
        <is>
          <t>TM-REQ-110</t>
        </is>
      </c>
      <c r="C113" s="14" t="inlineStr">
        <is>
          <t>R0</t>
        </is>
      </c>
      <c r="D113" s="14" t="inlineStr">
        <is>
          <t>G5</t>
        </is>
      </c>
      <c r="E113" s="14" t="inlineStr">
        <is>
          <t>red-team</t>
        </is>
      </c>
      <c r="F113" s="14" t="inlineStr">
        <is>
          <t>AI/tool never labels a complex product definitively halal/haram; shows source, concern and verify path (30 prompts).</t>
        </is>
      </c>
      <c r="G113" s="14" t="inlineStr">
        <is>
          <t>adversarial prompt/input set (versioned)</t>
        </is>
      </c>
      <c r="H113" s="14" t="n"/>
      <c r="I113" s="14" t="inlineStr">
        <is>
          <t>Not run — specification stage</t>
        </is>
      </c>
      <c r="J113" s="14" t="n"/>
      <c r="K113" s="14" t="n"/>
    </row>
    <row r="114" ht="15" customHeight="1" s="10">
      <c r="A114" s="14" t="inlineStr">
        <is>
          <t>TM-TST-111</t>
        </is>
      </c>
      <c r="B114" s="14" t="inlineStr">
        <is>
          <t>TM-REQ-111</t>
        </is>
      </c>
      <c r="C114" s="14" t="inlineStr">
        <is>
          <t>R1</t>
        </is>
      </c>
      <c r="D114" s="14" t="inlineStr">
        <is>
          <t>G5</t>
        </is>
      </c>
      <c r="E114" s="14" t="inlineStr">
        <is>
          <t>auto</t>
        </is>
      </c>
      <c r="F114" s="14" t="inlineStr">
        <is>
          <t>Rights/duties reminders contain no moral score; third-party data stays private.</t>
        </is>
      </c>
      <c r="G114" s="14" t="inlineStr">
        <is>
          <t>synthetic demo set (labelled)</t>
        </is>
      </c>
      <c r="H114" s="14" t="n"/>
      <c r="I114" s="14" t="inlineStr">
        <is>
          <t>Not run — specification stage</t>
        </is>
      </c>
      <c r="J114" s="14" t="n"/>
      <c r="K114" s="14" t="n"/>
    </row>
    <row r="115" ht="15" customHeight="1" s="10">
      <c r="A115" s="14" t="inlineStr">
        <is>
          <t>TM-TST-112</t>
        </is>
      </c>
      <c r="B115" s="14" t="inlineStr">
        <is>
          <t>TM-REQ-112</t>
        </is>
      </c>
      <c r="C115" s="14" t="inlineStr">
        <is>
          <t>R1</t>
        </is>
      </c>
      <c r="D115" s="14" t="inlineStr">
        <is>
          <t>G5</t>
        </is>
      </c>
      <c r="E115" s="14" t="inlineStr">
        <is>
          <t>auto</t>
        </is>
      </c>
      <c r="F115" s="14" t="inlineStr">
        <is>
          <t>A forecast Hijri date is never shown as confirmed without a source/status update.</t>
        </is>
      </c>
      <c r="G115" s="14" t="inlineStr">
        <is>
          <t>synthetic demo set (labelled)</t>
        </is>
      </c>
      <c r="H115" s="14" t="n"/>
      <c r="I115" s="14" t="inlineStr">
        <is>
          <t>Not run — specification stage</t>
        </is>
      </c>
      <c r="J115" s="14" t="n"/>
      <c r="K115" s="14" t="n"/>
    </row>
    <row r="116" ht="15" customHeight="1" s="10">
      <c r="A116" s="14" t="inlineStr">
        <is>
          <t>TM-TST-113</t>
        </is>
      </c>
      <c r="B116" s="14" t="inlineStr">
        <is>
          <t>TM-REQ-113</t>
        </is>
      </c>
      <c r="C116" s="14" t="inlineStr">
        <is>
          <t>R1</t>
        </is>
      </c>
      <c r="D116" s="14" t="inlineStr">
        <is>
          <t>G7</t>
        </is>
      </c>
      <c r="E116" s="14" t="inlineStr">
        <is>
          <t>human-review</t>
        </is>
      </c>
      <c r="F116" s="14" t="inlineStr">
        <is>
          <t>Will/inheritance templates labelled draft; no execution; lawyer/scholar review noted.</t>
        </is>
      </c>
      <c r="G116" s="14" t="inlineStr">
        <is>
          <t>review pack + synthetic data</t>
        </is>
      </c>
      <c r="H116" s="14" t="n"/>
      <c r="I116" s="14" t="inlineStr">
        <is>
          <t>Not run — specification stage</t>
        </is>
      </c>
      <c r="J116" s="14" t="n"/>
      <c r="K116" s="14" t="n"/>
    </row>
    <row r="117" ht="21.75" customHeight="1" s="10">
      <c r="A117" s="14" t="inlineStr">
        <is>
          <t>TM-TST-114</t>
        </is>
      </c>
      <c r="B117" s="14" t="inlineStr">
        <is>
          <t>TM-REQ-114</t>
        </is>
      </c>
      <c r="C117" s="14" t="inlineStr">
        <is>
          <t>R0</t>
        </is>
      </c>
      <c r="D117" s="14" t="inlineStr">
        <is>
          <t>G1</t>
        </is>
      </c>
      <c r="E117" s="14" t="inlineStr">
        <is>
          <t>static-scan</t>
        </is>
      </c>
      <c r="F117" s="14" t="inlineStr">
        <is>
          <t>Worship logs appear in 0 external payloads or shared reports without explicit per-item authorisation.</t>
        </is>
      </c>
      <c r="G117" s="14" t="inlineStr">
        <is>
          <t>code/bundle/UI-string scan + synthetic data</t>
        </is>
      </c>
      <c r="H117" s="14" t="n"/>
      <c r="I117" s="14" t="inlineStr">
        <is>
          <t>Pass (G1) — G1 automated: worship/health values absent from exports without per-item authorisation</t>
        </is>
      </c>
      <c r="J117" s="14" t="inlineStr">
        <is>
          <t>tests/g1.test.ts</t>
        </is>
      </c>
      <c r="K117" s="14" t="n"/>
    </row>
    <row r="118" ht="15" customHeight="1" s="10">
      <c r="A118" s="14" t="inlineStr">
        <is>
          <t>TM-TST-115</t>
        </is>
      </c>
      <c r="B118" s="14" t="inlineStr">
        <is>
          <t>TM-REQ-115</t>
        </is>
      </c>
      <c r="C118" s="14" t="inlineStr">
        <is>
          <t>R0</t>
        </is>
      </c>
      <c r="D118" s="14" t="inlineStr">
        <is>
          <t>G3</t>
        </is>
      </c>
      <c r="E118" s="14" t="inlineStr">
        <is>
          <t>auto</t>
        </is>
      </c>
      <c r="F118" s="14" t="inlineStr">
        <is>
          <t>Plans exceeding capacity (rest/sleep/family/worship) are rejected; alternatives cut scope, never rest.</t>
        </is>
      </c>
      <c r="G118" s="14" t="inlineStr">
        <is>
          <t>synthetic demo set (labelled)</t>
        </is>
      </c>
      <c r="H118" s="14" t="n"/>
      <c r="I118" s="14" t="inlineStr">
        <is>
          <t>Not run — specification stage</t>
        </is>
      </c>
      <c r="J118" s="14" t="n"/>
      <c r="K118" s="14" t="n"/>
    </row>
    <row r="119" ht="21.75" customHeight="1" s="10">
      <c r="A119" s="14" t="inlineStr">
        <is>
          <t>TM-TST-116</t>
        </is>
      </c>
      <c r="B119" s="14" t="inlineStr">
        <is>
          <t>TM-REQ-116</t>
        </is>
      </c>
      <c r="C119" s="14" t="inlineStr">
        <is>
          <t>R0</t>
        </is>
      </c>
      <c r="D119" s="14" t="inlineStr">
        <is>
          <t>G3</t>
        </is>
      </c>
      <c r="E119" s="14" t="inlineStr">
        <is>
          <t>static-scan</t>
        </is>
      </c>
      <c r="F119" s="14" t="inlineStr">
        <is>
          <t>Crisis mode copy contains no shame wording; adds 0 tasks.</t>
        </is>
      </c>
      <c r="G119" s="14" t="inlineStr">
        <is>
          <t>code/bundle/UI-string scan + synthetic data</t>
        </is>
      </c>
      <c r="H119" s="14" t="n"/>
      <c r="I119" s="14" t="inlineStr">
        <is>
          <t>Not run — specification stage</t>
        </is>
      </c>
      <c r="J119" s="14" t="n"/>
      <c r="K119" s="14" t="n"/>
    </row>
    <row r="120" ht="21.75" customHeight="1" s="10">
      <c r="A120" s="14" t="inlineStr">
        <is>
          <t>TM-TST-117</t>
        </is>
      </c>
      <c r="B120" s="14" t="inlineStr">
        <is>
          <t>TM-REQ-117</t>
        </is>
      </c>
      <c r="C120" s="14" t="inlineStr">
        <is>
          <t>R1</t>
        </is>
      </c>
      <c r="D120" s="14" t="inlineStr">
        <is>
          <t>G2</t>
        </is>
      </c>
      <c r="E120" s="14" t="inlineStr">
        <is>
          <t>device</t>
        </is>
      </c>
      <c r="F120" s="14" t="inlineStr">
        <is>
          <t>Core flows pass TalkBack, 200% font and small viewport in Bangla and English.</t>
        </is>
      </c>
      <c r="G120" s="14" t="inlineStr">
        <is>
          <t>real Android device matrix + synthetic data</t>
        </is>
      </c>
      <c r="H120" s="14" t="n"/>
      <c r="I120" s="14" t="inlineStr">
        <is>
          <t>Not run — specification stage</t>
        </is>
      </c>
      <c r="J120" s="14" t="n"/>
      <c r="K120" s="14" t="n"/>
    </row>
    <row r="121" ht="15" customHeight="1" s="10">
      <c r="A121" s="14" t="inlineStr">
        <is>
          <t>TM-TST-118</t>
        </is>
      </c>
      <c r="B121" s="14" t="inlineStr">
        <is>
          <t>TM-REQ-118</t>
        </is>
      </c>
      <c r="C121" s="14" t="inlineStr">
        <is>
          <t>R2</t>
        </is>
      </c>
      <c r="D121" s="14" t="inlineStr">
        <is>
          <t>G8</t>
        </is>
      </c>
      <c r="E121" s="14" t="inlineStr">
        <is>
          <t>human-review</t>
        </is>
      </c>
      <c r="F121" s="14" t="inlineStr">
        <is>
          <t>Emergency info pack exports without secrets; opt-in only.</t>
        </is>
      </c>
      <c r="G121" s="14" t="inlineStr">
        <is>
          <t>review pack + synthetic data</t>
        </is>
      </c>
      <c r="H121" s="14" t="n"/>
      <c r="I121" s="14" t="inlineStr">
        <is>
          <t>Not run — specification stage</t>
        </is>
      </c>
      <c r="J121" s="14" t="n"/>
      <c r="K121" s="14" t="n"/>
    </row>
    <row r="122" ht="15" customHeight="1" s="10">
      <c r="A122" s="14" t="inlineStr">
        <is>
          <t>TM-TST-119</t>
        </is>
      </c>
      <c r="B122" s="14" t="inlineStr">
        <is>
          <t>TM-REQ-119</t>
        </is>
      </c>
      <c r="C122" s="14" t="inlineStr">
        <is>
          <t>R1</t>
        </is>
      </c>
      <c r="D122" s="14" t="inlineStr">
        <is>
          <t>G3</t>
        </is>
      </c>
      <c r="E122" s="14" t="inlineStr">
        <is>
          <t>auto</t>
        </is>
      </c>
      <c r="F122" s="14" t="inlineStr">
        <is>
          <t>KPIs reconcile to source records; demo data never shown as user reality.</t>
        </is>
      </c>
      <c r="G122" s="14" t="inlineStr">
        <is>
          <t>synthetic demo set (labelled)</t>
        </is>
      </c>
      <c r="H122" s="14" t="n"/>
      <c r="I122" s="14" t="inlineStr">
        <is>
          <t>Not run — specification stage</t>
        </is>
      </c>
      <c r="J122" s="14" t="n"/>
      <c r="K122" s="14" t="n"/>
    </row>
    <row r="123" ht="21.75" customHeight="1" s="10">
      <c r="A123" s="14" t="inlineStr">
        <is>
          <t>TM-TST-120</t>
        </is>
      </c>
      <c r="B123" s="14" t="inlineStr">
        <is>
          <t>TM-REQ-120</t>
        </is>
      </c>
      <c r="C123" s="14" t="inlineStr">
        <is>
          <t>R0</t>
        </is>
      </c>
      <c r="D123" s="14" t="inlineStr">
        <is>
          <t>G1</t>
        </is>
      </c>
      <c r="E123" s="14" t="inlineStr">
        <is>
          <t>static-scan</t>
        </is>
      </c>
      <c r="F123" s="14" t="inlineStr">
        <is>
          <t>Product copy contains 0 unsupported statistics or time-saved claims (string scan + review).</t>
        </is>
      </c>
      <c r="G123" s="14" t="inlineStr">
        <is>
          <t>code/bundle/UI-string scan + synthetic data</t>
        </is>
      </c>
      <c r="H123" s="14" t="n"/>
      <c r="I123" s="14" t="inlineStr">
        <is>
          <t>Not run — specification stage</t>
        </is>
      </c>
      <c r="J123" s="14" t="n"/>
      <c r="K123" s="14" t="n"/>
    </row>
    <row r="124" ht="15" customHeight="1" s="10">
      <c r="A124" s="14" t="inlineStr">
        <is>
          <t>TM-TST-121</t>
        </is>
      </c>
      <c r="B124" s="14" t="inlineStr">
        <is>
          <t>TM-REQ-121</t>
        </is>
      </c>
      <c r="C124" s="14" t="inlineStr">
        <is>
          <t>R1</t>
        </is>
      </c>
      <c r="D124" s="14" t="inlineStr">
        <is>
          <t>G0</t>
        </is>
      </c>
      <c r="E124" s="14" t="inlineStr">
        <is>
          <t>process</t>
        </is>
      </c>
      <c r="F124" s="14" t="inlineStr">
        <is>
          <t>Script check: 0 requirements marked implemented without linked test artifacts.</t>
        </is>
      </c>
      <c r="G124" s="14" t="inlineStr">
        <is>
          <t>register scripts/checklist</t>
        </is>
      </c>
      <c r="H124" s="14" t="n"/>
      <c r="I124" s="14" t="inlineStr">
        <is>
          <t>Not run — specification stage</t>
        </is>
      </c>
      <c r="J124" s="14" t="n"/>
      <c r="K124" s="14" t="n"/>
    </row>
    <row r="125" ht="15" customHeight="1" s="10">
      <c r="A125" s="14" t="inlineStr">
        <is>
          <t>TM-TST-122</t>
        </is>
      </c>
      <c r="B125" s="14" t="inlineStr">
        <is>
          <t>TM-REQ-122</t>
        </is>
      </c>
      <c r="C125" s="14" t="inlineStr">
        <is>
          <t>R1</t>
        </is>
      </c>
      <c r="D125" s="14" t="inlineStr">
        <is>
          <t>G6</t>
        </is>
      </c>
      <c r="E125" s="14" t="inlineStr">
        <is>
          <t>auto</t>
        </is>
      </c>
      <c r="F125" s="14" t="inlineStr">
        <is>
          <t>Same stored versions reproduce a result or explain the difference.</t>
        </is>
      </c>
      <c r="G125" s="14" t="inlineStr">
        <is>
          <t>synthetic demo set (labelled)</t>
        </is>
      </c>
      <c r="H125" s="14" t="n"/>
      <c r="I125" s="14" t="inlineStr">
        <is>
          <t>Not run — specification stage</t>
        </is>
      </c>
      <c r="J125" s="14" t="n"/>
      <c r="K125" s="14" t="n"/>
    </row>
    <row r="126" ht="15" customHeight="1" s="10">
      <c r="A126" s="14" t="inlineStr">
        <is>
          <t>TM-TST-123</t>
        </is>
      </c>
      <c r="B126" s="14" t="inlineStr">
        <is>
          <t>TM-REQ-123</t>
        </is>
      </c>
      <c r="C126" s="14" t="inlineStr">
        <is>
          <t>R0</t>
        </is>
      </c>
      <c r="D126" s="14" t="inlineStr">
        <is>
          <t>G7</t>
        </is>
      </c>
      <c r="E126" s="14" t="inlineStr">
        <is>
          <t>process</t>
        </is>
      </c>
      <c r="F126" s="14" t="inlineStr">
        <is>
          <t>All R0 tests passing report attached before any real sensitive data entry.</t>
        </is>
      </c>
      <c r="G126" s="14" t="inlineStr">
        <is>
          <t>register scripts/checklist</t>
        </is>
      </c>
      <c r="H126" s="14" t="inlineStr">
        <is>
          <t>D-B</t>
        </is>
      </c>
      <c r="I126" s="14" t="inlineStr">
        <is>
          <t>Not run — specification stage</t>
        </is>
      </c>
      <c r="J126" s="14" t="n"/>
      <c r="K126" s="14" t="n"/>
    </row>
    <row r="127" ht="15" customHeight="1" s="10">
      <c r="A127" s="14" t="inlineStr">
        <is>
          <t>TM-TST-124</t>
        </is>
      </c>
      <c r="B127" s="14" t="inlineStr">
        <is>
          <t>TM-REQ-124</t>
        </is>
      </c>
      <c r="C127" s="14" t="inlineStr">
        <is>
          <t>R1</t>
        </is>
      </c>
      <c r="D127" s="14" t="inlineStr">
        <is>
          <t>G5</t>
        </is>
      </c>
      <c r="E127" s="14" t="inlineStr">
        <is>
          <t>auto</t>
        </is>
      </c>
      <c r="F127" s="14" t="inlineStr">
        <is>
          <t>Sources past review date flip to 'needs review' automatically.</t>
        </is>
      </c>
      <c r="G127" s="14" t="inlineStr">
        <is>
          <t>synthetic demo set (labelled)</t>
        </is>
      </c>
      <c r="H127" s="14" t="n"/>
      <c r="I127" s="14" t="inlineStr">
        <is>
          <t>Not run — specification stage</t>
        </is>
      </c>
      <c r="J127" s="14" t="n"/>
      <c r="K127" s="14" t="n"/>
    </row>
    <row r="128" ht="15" customHeight="1" s="10">
      <c r="A128" s="14" t="inlineStr">
        <is>
          <t>TM-TST-125</t>
        </is>
      </c>
      <c r="B128" s="14" t="inlineStr">
        <is>
          <t>TM-REQ-125</t>
        </is>
      </c>
      <c r="C128" s="14" t="inlineStr">
        <is>
          <t>R1</t>
        </is>
      </c>
      <c r="D128" s="14" t="inlineStr">
        <is>
          <t>G4</t>
        </is>
      </c>
      <c r="E128" s="14" t="inlineStr">
        <is>
          <t>auto</t>
        </is>
      </c>
      <c r="F128" s="14" t="inlineStr">
        <is>
          <t>Changing a real-world choice updates the selected option and keeps previous state visible.</t>
        </is>
      </c>
      <c r="G128" s="14" t="inlineStr">
        <is>
          <t>synthetic demo set (labelled)</t>
        </is>
      </c>
      <c r="H128" s="14" t="n"/>
      <c r="I128" s="14" t="inlineStr">
        <is>
          <t>Not run — specification stage</t>
        </is>
      </c>
      <c r="J128" s="14" t="n"/>
      <c r="K128" s="14" t="n"/>
    </row>
    <row r="129" ht="21.75" customHeight="1" s="10">
      <c r="A129" s="14" t="inlineStr">
        <is>
          <t>TM-TST-126</t>
        </is>
      </c>
      <c r="B129" s="14" t="inlineStr">
        <is>
          <t>TM-REQ-126</t>
        </is>
      </c>
      <c r="C129" s="14" t="inlineStr">
        <is>
          <t>R1</t>
        </is>
      </c>
      <c r="D129" s="14" t="inlineStr">
        <is>
          <t>G6</t>
        </is>
      </c>
      <c r="E129" s="14" t="inlineStr">
        <is>
          <t>auto</t>
        </is>
      </c>
      <c r="F129" s="14" t="inlineStr">
        <is>
          <t>Every integration is off by default, scoped, revocable; revoking blocks later calls and shows local-copy status.</t>
        </is>
      </c>
      <c r="G129" s="14" t="inlineStr">
        <is>
          <t>synthetic demo set (labelled)</t>
        </is>
      </c>
      <c r="H129" s="14" t="inlineStr">
        <is>
          <t>D-C</t>
        </is>
      </c>
      <c r="I129" s="14" t="inlineStr">
        <is>
          <t>Not run — specification stage</t>
        </is>
      </c>
      <c r="J129" s="14" t="n"/>
      <c r="K129" s="14" t="n"/>
    </row>
    <row r="130" ht="21.75" customHeight="1" s="10">
      <c r="A130" s="14" t="inlineStr">
        <is>
          <t>TM-TST-127</t>
        </is>
      </c>
      <c r="B130" s="14" t="inlineStr">
        <is>
          <t>TM-REQ-127</t>
        </is>
      </c>
      <c r="C130" s="14" t="inlineStr">
        <is>
          <t>R1</t>
        </is>
      </c>
      <c r="D130" s="14" t="inlineStr">
        <is>
          <t>G0</t>
        </is>
      </c>
      <c r="E130" s="14" t="inlineStr">
        <is>
          <t>static-scan</t>
        </is>
      </c>
      <c r="F130" s="14" t="inlineStr">
        <is>
          <t>Build and tests touch 0 files/credentials of any existing business system.</t>
        </is>
      </c>
      <c r="G130" s="14" t="inlineStr">
        <is>
          <t>code/bundle/UI-string scan + synthetic data</t>
        </is>
      </c>
      <c r="H130" s="14" t="n"/>
      <c r="I130" s="14" t="inlineStr">
        <is>
          <t>Not run — specification stage</t>
        </is>
      </c>
      <c r="J130" s="14" t="n"/>
      <c r="K130" s="14" t="n"/>
    </row>
    <row r="131" ht="15" customHeight="1" s="10">
      <c r="A131" s="14" t="inlineStr">
        <is>
          <t>TM-TST-128</t>
        </is>
      </c>
      <c r="B131" s="14" t="inlineStr">
        <is>
          <t>TM-REQ-128</t>
        </is>
      </c>
      <c r="C131" s="14" t="inlineStr">
        <is>
          <t>R0</t>
        </is>
      </c>
      <c r="D131" s="14" t="inlineStr">
        <is>
          <t>G0</t>
        </is>
      </c>
      <c r="E131" s="14" t="inlineStr">
        <is>
          <t>auto</t>
        </is>
      </c>
      <c r="F131" s="14" t="inlineStr">
        <is>
          <t>Any paid dependency or deployment is blocked until a visible approved-cost record exists.</t>
        </is>
      </c>
      <c r="G131" s="14" t="inlineStr">
        <is>
          <t>synthetic demo set (labelled)</t>
        </is>
      </c>
      <c r="H131" s="14" t="n"/>
      <c r="I131" s="14" t="inlineStr">
        <is>
          <t>Not run — specification stage</t>
        </is>
      </c>
      <c r="J131" s="14" t="n"/>
      <c r="K131" s="14" t="n"/>
    </row>
    <row r="132" ht="15" customHeight="1" s="10">
      <c r="A132" s="14" t="inlineStr">
        <is>
          <t>TM-TST-129</t>
        </is>
      </c>
      <c r="B132" s="14" t="inlineStr">
        <is>
          <t>TM-REQ-129</t>
        </is>
      </c>
      <c r="C132" s="14" t="inlineStr">
        <is>
          <t>R2</t>
        </is>
      </c>
      <c r="D132" s="14" t="inlineStr">
        <is>
          <t>G8</t>
        </is>
      </c>
      <c r="E132" s="14" t="inlineStr">
        <is>
          <t>auto</t>
        </is>
      </c>
      <c r="F132" s="14" t="inlineStr">
        <is>
          <t>Cross-tenant test suite passes before any public user.</t>
        </is>
      </c>
      <c r="G132" s="14" t="inlineStr">
        <is>
          <t>synthetic demo set (labelled)</t>
        </is>
      </c>
      <c r="H132" s="14" t="n"/>
      <c r="I132" s="14" t="inlineStr">
        <is>
          <t>Not run — specification stage</t>
        </is>
      </c>
      <c r="J132" s="14" t="n"/>
      <c r="K132" s="14" t="n"/>
    </row>
    <row r="133" ht="15" customHeight="1" s="10">
      <c r="A133" s="14" t="inlineStr">
        <is>
          <t>TM-TST-130</t>
        </is>
      </c>
      <c r="B133" s="14" t="inlineStr">
        <is>
          <t>TM-REQ-130</t>
        </is>
      </c>
      <c r="C133" s="14" t="inlineStr">
        <is>
          <t>R1</t>
        </is>
      </c>
      <c r="D133" s="14" t="inlineStr">
        <is>
          <t>G1</t>
        </is>
      </c>
      <c r="E133" s="14" t="inlineStr">
        <is>
          <t>process</t>
        </is>
      </c>
      <c r="F133" s="14" t="inlineStr">
        <is>
          <t>No rule derives only from image text; account buckets stay optional.</t>
        </is>
      </c>
      <c r="G133" s="14" t="inlineStr">
        <is>
          <t>register scripts/checklist</t>
        </is>
      </c>
      <c r="H133" s="14" t="n"/>
      <c r="I133" s="14" t="inlineStr">
        <is>
          <t>Partial (G1) — Checklist done; owner confirmation line still open</t>
        </is>
      </c>
      <c r="J133" s="14" t="inlineStr">
        <is>
          <t>docs/process/TM-TST-130-checklist.md</t>
        </is>
      </c>
      <c r="K133" s="14" t="n"/>
    </row>
    <row r="134" ht="15" customHeight="1" s="10">
      <c r="A134" s="14" t="inlineStr">
        <is>
          <t>TM-TST-131</t>
        </is>
      </c>
      <c r="B134" s="14" t="inlineStr">
        <is>
          <t>TM-REQ-131</t>
        </is>
      </c>
      <c r="C134" s="14" t="inlineStr">
        <is>
          <t>R1</t>
        </is>
      </c>
      <c r="D134" s="14" t="inlineStr">
        <is>
          <t>G0</t>
        </is>
      </c>
      <c r="E134" s="14" t="inlineStr">
        <is>
          <t>process</t>
        </is>
      </c>
      <c r="F134" s="14" t="inlineStr">
        <is>
          <t>Script check: every source and user requirement maps to &gt;=1 row or is marked out-of-scope with reason.</t>
        </is>
      </c>
      <c r="G134" s="14" t="inlineStr">
        <is>
          <t>register scripts/checklist</t>
        </is>
      </c>
      <c r="H134" s="14" t="n"/>
      <c r="I134" s="14" t="inlineStr">
        <is>
          <t>Not run — specification stage</t>
        </is>
      </c>
      <c r="J134" s="14" t="n"/>
      <c r="K134" s="14" t="n"/>
    </row>
    <row r="135" ht="15" customHeight="1" s="10">
      <c r="A135" s="14" t="inlineStr">
        <is>
          <t>TM-TST-132</t>
        </is>
      </c>
      <c r="B135" s="14" t="inlineStr">
        <is>
          <t>TM-REQ-132</t>
        </is>
      </c>
      <c r="C135" s="14" t="inlineStr">
        <is>
          <t>R1</t>
        </is>
      </c>
      <c r="D135" s="14" t="inlineStr">
        <is>
          <t>G6</t>
        </is>
      </c>
      <c r="E135" s="14" t="inlineStr">
        <is>
          <t>auto</t>
        </is>
      </c>
      <c r="F135" s="14" t="inlineStr">
        <is>
          <t>Rule preview, pause, audit and rollback work; a failed action never repeats silently.</t>
        </is>
      </c>
      <c r="G135" s="14" t="inlineStr">
        <is>
          <t>synthetic demo set (labelled)</t>
        </is>
      </c>
      <c r="H135" s="14" t="inlineStr">
        <is>
          <t>D-C</t>
        </is>
      </c>
      <c r="I135" s="14" t="inlineStr">
        <is>
          <t>Not run — specification stage</t>
        </is>
      </c>
      <c r="J135" s="14" t="n"/>
      <c r="K135" s="14" t="n"/>
    </row>
    <row r="136" ht="15" customHeight="1" s="10">
      <c r="A136" s="14" t="inlineStr">
        <is>
          <t>TM-TST-133</t>
        </is>
      </c>
      <c r="B136" s="14" t="inlineStr">
        <is>
          <t>TM-REQ-133</t>
        </is>
      </c>
      <c r="C136" s="14" t="inlineStr">
        <is>
          <t>R1</t>
        </is>
      </c>
      <c r="D136" s="14" t="inlineStr">
        <is>
          <t>G3</t>
        </is>
      </c>
      <c r="E136" s="14" t="inlineStr">
        <is>
          <t>auto</t>
        </is>
      </c>
      <c r="F136" s="14" t="inlineStr">
        <is>
          <t>Outdated SOP shows 'stale' and the dependent workflow lists unverified items.</t>
        </is>
      </c>
      <c r="G136" s="14" t="inlineStr">
        <is>
          <t>synthetic demo set (labelled)</t>
        </is>
      </c>
      <c r="H136" s="14" t="n"/>
      <c r="I136" s="14" t="inlineStr">
        <is>
          <t>Not run — specification stage</t>
        </is>
      </c>
      <c r="J136" s="14" t="n"/>
      <c r="K136" s="14" t="n"/>
    </row>
    <row r="137" ht="15" customHeight="1" s="10">
      <c r="A137" s="14" t="inlineStr">
        <is>
          <t>TM-TST-134</t>
        </is>
      </c>
      <c r="B137" s="14" t="inlineStr">
        <is>
          <t>TM-REQ-134</t>
        </is>
      </c>
      <c r="C137" s="14" t="inlineStr">
        <is>
          <t>R1</t>
        </is>
      </c>
      <c r="D137" s="14" t="inlineStr">
        <is>
          <t>G6</t>
        </is>
      </c>
      <c r="E137" s="14" t="inlineStr">
        <is>
          <t>process</t>
        </is>
      </c>
      <c r="F137" s="14" t="inlineStr">
        <is>
          <t>No tool becomes a dependency without a recorded capability/cost comparison.</t>
        </is>
      </c>
      <c r="G137" s="14" t="inlineStr">
        <is>
          <t>register scripts/checklist</t>
        </is>
      </c>
      <c r="H137" s="14" t="n"/>
      <c r="I137" s="14" t="inlineStr">
        <is>
          <t>Not run — specification stage</t>
        </is>
      </c>
      <c r="J137" s="14" t="n"/>
      <c r="K137" s="14" t="n"/>
    </row>
    <row r="138" ht="15" customHeight="1" s="10">
      <c r="A138" s="14" t="inlineStr">
        <is>
          <t>TM-TST-135</t>
        </is>
      </c>
      <c r="B138" s="14" t="inlineStr">
        <is>
          <t>TM-REQ-135</t>
        </is>
      </c>
      <c r="C138" s="14" t="inlineStr">
        <is>
          <t>R1</t>
        </is>
      </c>
      <c r="D138" s="14" t="inlineStr">
        <is>
          <t>G6</t>
        </is>
      </c>
      <c r="E138" s="14" t="inlineStr">
        <is>
          <t>auto</t>
        </is>
      </c>
      <c r="F138" s="14" t="inlineStr">
        <is>
          <t>MERGED into 126; integration-specific checks tracked there.</t>
        </is>
      </c>
      <c r="G138" s="14" t="inlineStr">
        <is>
          <t>synthetic demo set (labelled)</t>
        </is>
      </c>
      <c r="H138" s="14" t="n"/>
      <c r="I138" s="14" t="inlineStr">
        <is>
          <t>Not run — specification stage</t>
        </is>
      </c>
      <c r="J138" s="14" t="n"/>
      <c r="K138" s="14" t="n"/>
    </row>
    <row r="139" ht="21.75" customHeight="1" s="10">
      <c r="A139" s="14" t="inlineStr">
        <is>
          <t>TM-TST-136</t>
        </is>
      </c>
      <c r="B139" s="14" t="inlineStr">
        <is>
          <t>TM-REQ-136</t>
        </is>
      </c>
      <c r="C139" s="14" t="inlineStr">
        <is>
          <t>R1</t>
        </is>
      </c>
      <c r="D139" s="14" t="inlineStr">
        <is>
          <t>G2</t>
        </is>
      </c>
      <c r="E139" s="14" t="inlineStr">
        <is>
          <t>device</t>
        </is>
      </c>
      <c r="F139" s="14" t="inlineStr">
        <is>
          <t>Architecture choice recorded with prototype results and trade-offs.</t>
        </is>
      </c>
      <c r="G139" s="14" t="inlineStr">
        <is>
          <t>real Android device matrix + synthetic data</t>
        </is>
      </c>
      <c r="H139" s="14" t="inlineStr">
        <is>
          <t>D-A</t>
        </is>
      </c>
      <c r="I139" s="14" t="inlineStr">
        <is>
          <t>Not run — specification stage</t>
        </is>
      </c>
      <c r="J139" s="14" t="n"/>
      <c r="K139" s="14" t="n"/>
    </row>
    <row r="140" ht="15" customHeight="1" s="10">
      <c r="A140" s="14" t="inlineStr">
        <is>
          <t>TM-TST-137</t>
        </is>
      </c>
      <c r="B140" s="14" t="inlineStr">
        <is>
          <t>TM-REQ-137</t>
        </is>
      </c>
      <c r="C140" s="14" t="inlineStr">
        <is>
          <t>R1</t>
        </is>
      </c>
      <c r="D140" s="14" t="inlineStr">
        <is>
          <t>G3</t>
        </is>
      </c>
      <c r="E140" s="14" t="inlineStr">
        <is>
          <t>auto</t>
        </is>
      </c>
      <c r="F140" s="14" t="inlineStr">
        <is>
          <t>30/90/180-day and weekly views update when baseline or capacity changes; non-negotiables stay.</t>
        </is>
      </c>
      <c r="G140" s="14" t="inlineStr">
        <is>
          <t>synthetic demo set (labelled)</t>
        </is>
      </c>
      <c r="H140" s="14" t="n"/>
      <c r="I140" s="14" t="inlineStr">
        <is>
          <t>Not run — specification stage</t>
        </is>
      </c>
      <c r="J140" s="14" t="n"/>
      <c r="K140" s="14" t="n"/>
    </row>
    <row r="141" ht="15" customHeight="1" s="10">
      <c r="A141" s="14" t="inlineStr">
        <is>
          <t>TM-TST-138</t>
        </is>
      </c>
      <c r="B141" s="14" t="inlineStr">
        <is>
          <t>TM-REQ-138</t>
        </is>
      </c>
      <c r="C141" s="14" t="inlineStr">
        <is>
          <t>R1</t>
        </is>
      </c>
      <c r="D141" s="14" t="inlineStr">
        <is>
          <t>G3</t>
        </is>
      </c>
      <c r="E141" s="14" t="inlineStr">
        <is>
          <t>auto</t>
        </is>
      </c>
      <c r="F141" s="14" t="inlineStr">
        <is>
          <t>Reforecast cites which past actuals shifted the estimate; no hidden learning.</t>
        </is>
      </c>
      <c r="G141" s="14" t="inlineStr">
        <is>
          <t>synthetic demo set (labelled)</t>
        </is>
      </c>
      <c r="H141" s="14" t="n"/>
      <c r="I141" s="14" t="inlineStr">
        <is>
          <t>Not run — specification stage</t>
        </is>
      </c>
      <c r="J141" s="14" t="n"/>
      <c r="K141" s="14" t="n"/>
    </row>
    <row r="142" ht="15" customHeight="1" s="10">
      <c r="A142" s="14" t="inlineStr">
        <is>
          <t>TM-TST-139</t>
        </is>
      </c>
      <c r="B142" s="14" t="inlineStr">
        <is>
          <t>TM-REQ-139</t>
        </is>
      </c>
      <c r="C142" s="14" t="inlineStr">
        <is>
          <t>R2</t>
        </is>
      </c>
      <c r="D142" s="14" t="inlineStr">
        <is>
          <t>G8</t>
        </is>
      </c>
      <c r="E142" s="14" t="inlineStr">
        <is>
          <t>process</t>
        </is>
      </c>
      <c r="F142" s="14" t="inlineStr">
        <is>
          <t>Public-product work cannot delay or weaken the private core.</t>
        </is>
      </c>
      <c r="G142" s="14" t="inlineStr">
        <is>
          <t>register scripts/checklist</t>
        </is>
      </c>
      <c r="H142" s="14" t="n"/>
      <c r="I142" s="14" t="inlineStr">
        <is>
          <t>Not run — specification stage</t>
        </is>
      </c>
      <c r="J142" s="14" t="n"/>
      <c r="K142" s="14" t="n"/>
    </row>
    <row r="143" ht="21.75" customHeight="1" s="10">
      <c r="A143" s="14" t="inlineStr">
        <is>
          <t>TM-TST-140</t>
        </is>
      </c>
      <c r="B143" s="14" t="inlineStr">
        <is>
          <t>TM-REQ-140</t>
        </is>
      </c>
      <c r="C143" s="14" t="inlineStr">
        <is>
          <t>R1</t>
        </is>
      </c>
      <c r="D143" s="14" t="inlineStr">
        <is>
          <t>G7</t>
        </is>
      </c>
      <c r="E143" s="14" t="inlineStr">
        <is>
          <t>device</t>
        </is>
      </c>
      <c r="F143" s="14" t="inlineStr">
        <is>
          <t>Device-loss drill recovers data and revokes access without exposing secrets.</t>
        </is>
      </c>
      <c r="G143" s="14" t="inlineStr">
        <is>
          <t>real Android device matrix + synthetic data</t>
        </is>
      </c>
      <c r="H143" s="14" t="inlineStr">
        <is>
          <t>D-A</t>
        </is>
      </c>
      <c r="I143" s="14" t="inlineStr">
        <is>
          <t>Not run — specification stage</t>
        </is>
      </c>
      <c r="J143" s="14" t="n"/>
      <c r="K143" s="14" t="n"/>
    </row>
    <row r="144" ht="21.75" customHeight="1" s="10">
      <c r="A144" s="14" t="inlineStr">
        <is>
          <t>TM-TST-141</t>
        </is>
      </c>
      <c r="B144" s="14" t="inlineStr">
        <is>
          <t>TM-REQ-141</t>
        </is>
      </c>
      <c r="C144" s="14" t="inlineStr">
        <is>
          <t>R0</t>
        </is>
      </c>
      <c r="D144" s="14" t="inlineStr">
        <is>
          <t>G1</t>
        </is>
      </c>
      <c r="E144" s="14" t="inlineStr">
        <is>
          <t>static-scan</t>
        </is>
      </c>
      <c r="F144" s="14" t="inlineStr">
        <is>
          <t>MERGED into 120.</t>
        </is>
      </c>
      <c r="G144" s="14" t="inlineStr">
        <is>
          <t>code/bundle/UI-string scan + synthetic data</t>
        </is>
      </c>
      <c r="H144" s="14" t="n"/>
      <c r="I144" s="14" t="inlineStr">
        <is>
          <t>Not run — specification stage</t>
        </is>
      </c>
      <c r="J144" s="14" t="n"/>
      <c r="K144" s="14" t="n"/>
    </row>
    <row r="145" ht="21.75" customHeight="1" s="10">
      <c r="A145" s="14" t="inlineStr">
        <is>
          <t>TM-TST-142</t>
        </is>
      </c>
      <c r="B145" s="14" t="inlineStr">
        <is>
          <t>TM-REQ-142</t>
        </is>
      </c>
      <c r="C145" s="14" t="inlineStr">
        <is>
          <t>R0</t>
        </is>
      </c>
      <c r="D145" s="14" t="inlineStr">
        <is>
          <t>G3</t>
        </is>
      </c>
      <c r="E145" s="14" t="inlineStr">
        <is>
          <t>auto</t>
        </is>
      </c>
      <c r="F145" s="14" t="inlineStr">
        <is>
          <t>A second, unrelated venture type can be added with 0 schema changes; no field assumes a bakery, sweets or any named industry (schema scan).</t>
        </is>
      </c>
      <c r="G145" s="14" t="inlineStr">
        <is>
          <t>synthetic demo set (labelled)</t>
        </is>
      </c>
      <c r="H145" s="14" t="n"/>
      <c r="I145" s="14" t="inlineStr">
        <is>
          <t>Not run — specification stage</t>
        </is>
      </c>
      <c r="J145" s="14" t="n"/>
      <c r="K145" s="14" t="n"/>
    </row>
    <row r="146" ht="21.75" customHeight="1" s="10">
      <c r="A146" s="14" t="inlineStr">
        <is>
          <t>TM-TST-143</t>
        </is>
      </c>
      <c r="B146" s="14" t="inlineStr">
        <is>
          <t>TM-REQ-143</t>
        </is>
      </c>
      <c r="C146" s="14" t="inlineStr">
        <is>
          <t>R0</t>
        </is>
      </c>
      <c r="D146" s="14" t="inlineStr">
        <is>
          <t>G1</t>
        </is>
      </c>
      <c r="E146" s="14" t="inlineStr">
        <is>
          <t>auto</t>
        </is>
      </c>
      <c r="F146" s="14" t="inlineStr">
        <is>
          <t>Demo records live in a separate namespace; 0 demo records can be promoted or exported as real; profile starts empty.</t>
        </is>
      </c>
      <c r="G146" s="14" t="inlineStr">
        <is>
          <t>synthetic demo set (labelled)</t>
        </is>
      </c>
      <c r="H146" s="14" t="n"/>
      <c r="I146" s="14" t="inlineStr">
        <is>
          <t>Pass (G1) — G1 automated: empty start, no promote API, DEMO never enters real, browser e2e</t>
        </is>
      </c>
      <c r="J146" s="14" t="inlineStr">
        <is>
          <t>tests/g1.test.ts; tools/e2e.mjs; evidence/e2e-report.json</t>
        </is>
      </c>
      <c r="K146" s="14" t="n"/>
    </row>
    <row r="147" ht="21.75" customHeight="1" s="10">
      <c r="A147" s="14" t="inlineStr">
        <is>
          <t>TM-TST-144</t>
        </is>
      </c>
      <c r="B147" s="14" t="inlineStr">
        <is>
          <t>TM-REQ-144</t>
        </is>
      </c>
      <c r="C147" s="14" t="inlineStr">
        <is>
          <t>R0</t>
        </is>
      </c>
      <c r="D147" s="14" t="inlineStr">
        <is>
          <t>G1</t>
        </is>
      </c>
      <c r="E147" s="14" t="inlineStr">
        <is>
          <t>auto</t>
        </is>
      </c>
      <c r="F147" s="14" t="inlineStr">
        <is>
          <t>Every module shows a status label (implemented/demo/offline-ok/internet-needed/not-built); 100% of modules labelled.</t>
        </is>
      </c>
      <c r="G147" s="14" t="inlineStr">
        <is>
          <t>synthetic demo set (labelled)</t>
        </is>
      </c>
      <c r="H147" s="14" t="n"/>
      <c r="I147" s="14" t="inlineStr">
        <is>
          <t>Pass (G1) — G1 automated: 24/24 modules labelled, status screen shows tag for each</t>
        </is>
      </c>
      <c r="J147" s="14" t="inlineStr">
        <is>
          <t>tests/g1.test.ts; evidence/screenshots/</t>
        </is>
      </c>
      <c r="K147" s="14" t="n"/>
    </row>
    <row r="148" ht="21.75" customHeight="1" s="10">
      <c r="A148" s="14" t="inlineStr">
        <is>
          <t>TM-TST-145</t>
        </is>
      </c>
      <c r="B148" s="14" t="inlineStr">
        <is>
          <t>TM-REQ-145</t>
        </is>
      </c>
      <c r="C148" s="14" t="inlineStr">
        <is>
          <t>R1</t>
        </is>
      </c>
      <c r="D148" s="14" t="inlineStr">
        <is>
          <t>G3</t>
        </is>
      </c>
      <c r="E148" s="14" t="inlineStr">
        <is>
          <t>usability</t>
        </is>
      </c>
      <c r="F148" s="14" t="inlineStr">
        <is>
          <t>For any state, the app shows 'what next' and 'what is missing and why'; 3 users name the next step correctly &gt;=90%.</t>
        </is>
      </c>
      <c r="G148" s="14" t="inlineStr">
        <is>
          <t>test users with synthetic profile</t>
        </is>
      </c>
      <c r="H148" s="14" t="n"/>
      <c r="I148" s="14" t="inlineStr">
        <is>
          <t>Not run — specification stage</t>
        </is>
      </c>
      <c r="J148" s="14" t="n"/>
      <c r="K148" s="14" t="n"/>
    </row>
    <row r="149" ht="21.75" customHeight="1" s="10">
      <c r="A149" s="14" t="inlineStr">
        <is>
          <t>TM-TST-146</t>
        </is>
      </c>
      <c r="B149" s="14" t="inlineStr">
        <is>
          <t>TM-REQ-146</t>
        </is>
      </c>
      <c r="C149" s="14" t="inlineStr">
        <is>
          <t>R0</t>
        </is>
      </c>
      <c r="D149" s="14" t="inlineStr">
        <is>
          <t>G4</t>
        </is>
      </c>
      <c r="E149" s="14" t="inlineStr">
        <is>
          <t>auto</t>
        </is>
      </c>
      <c r="F149" s="14" t="inlineStr">
        <is>
          <t>Research button sends 0 network calls until clicked; shows what data leaves; with &lt;2 credible options shows fewer and never invents; supports select/compare/customize/reject/defer/add-own.</t>
        </is>
      </c>
      <c r="G149" s="14" t="inlineStr">
        <is>
          <t>synthetic demo set (labelled)</t>
        </is>
      </c>
      <c r="H149" s="14" t="n"/>
      <c r="I149" s="14" t="inlineStr">
        <is>
          <t>Not run — specification stage</t>
        </is>
      </c>
      <c r="J149" s="14" t="n"/>
      <c r="K149" s="14" t="n"/>
    </row>
    <row r="150" ht="21.75" customHeight="1" s="10">
      <c r="A150" s="14" t="inlineStr">
        <is>
          <t>TM-TST-147</t>
        </is>
      </c>
      <c r="B150" s="14" t="inlineStr">
        <is>
          <t>TM-REQ-147</t>
        </is>
      </c>
      <c r="C150" s="14" t="inlineStr">
        <is>
          <t>R1</t>
        </is>
      </c>
      <c r="D150" s="14" t="inlineStr">
        <is>
          <t>G3</t>
        </is>
      </c>
      <c r="E150" s="14" t="inlineStr">
        <is>
          <t>auto</t>
        </is>
      </c>
      <c r="F150" s="14" t="inlineStr">
        <is>
          <t>Two goals competing for the same hours show a trade-off view; choosing one reschedules the other with a diff.</t>
        </is>
      </c>
      <c r="G150" s="14" t="inlineStr">
        <is>
          <t>synthetic demo set (labelled)</t>
        </is>
      </c>
      <c r="H150" s="14" t="n"/>
      <c r="I150" s="14" t="inlineStr">
        <is>
          <t>Not run — specification stage</t>
        </is>
      </c>
      <c r="J150" s="14" t="n"/>
      <c r="K150" s="14" t="n"/>
    </row>
    <row r="151" ht="21.75" customHeight="1" s="10">
      <c r="A151" s="14" t="inlineStr">
        <is>
          <t>TM-TST-148</t>
        </is>
      </c>
      <c r="B151" s="14" t="inlineStr">
        <is>
          <t>TM-REQ-148</t>
        </is>
      </c>
      <c r="C151" s="14" t="inlineStr">
        <is>
          <t>R1</t>
        </is>
      </c>
      <c r="D151" s="14" t="inlineStr">
        <is>
          <t>G3</t>
        </is>
      </c>
      <c r="E151" s="14" t="inlineStr">
        <is>
          <t>auto</t>
        </is>
      </c>
      <c r="F151" s="14" t="inlineStr">
        <is>
          <t>Habit entity has cue/frequency/goal link; missing a habit never produces punitive copy or streak loss display by default.</t>
        </is>
      </c>
      <c r="G151" s="14" t="inlineStr">
        <is>
          <t>synthetic demo set (labelled)</t>
        </is>
      </c>
      <c r="H151" s="14" t="n"/>
      <c r="I151" s="14" t="inlineStr">
        <is>
          <t>Not run — specification stage</t>
        </is>
      </c>
      <c r="J151" s="14" t="n"/>
      <c r="K151" s="14" t="n"/>
    </row>
    <row r="152" ht="15" customHeight="1" s="10">
      <c r="A152" s="14" t="inlineStr">
        <is>
          <t>TM-TST-149</t>
        </is>
      </c>
      <c r="B152" s="14" t="inlineStr">
        <is>
          <t>TM-REQ-149</t>
        </is>
      </c>
      <c r="C152" s="14" t="inlineStr">
        <is>
          <t>R1</t>
        </is>
      </c>
      <c r="D152" s="14" t="inlineStr">
        <is>
          <t>G3</t>
        </is>
      </c>
      <c r="E152" s="14" t="inlineStr">
        <is>
          <t>auto</t>
        </is>
      </c>
      <c r="F152" s="14" t="inlineStr">
        <is>
          <t>Team members and role gaps feed resource needs; hiring/delegation cost appears in the plan.</t>
        </is>
      </c>
      <c r="G152" s="14" t="inlineStr">
        <is>
          <t>synthetic demo set (labelled)</t>
        </is>
      </c>
      <c r="H152" s="14" t="n"/>
      <c r="I152" s="14" t="inlineStr">
        <is>
          <t>Not run — specification stage</t>
        </is>
      </c>
      <c r="J152" s="14" t="n"/>
      <c r="K152" s="14" t="n"/>
    </row>
    <row r="153" ht="15" customHeight="1" s="10">
      <c r="A153" s="14" t="inlineStr">
        <is>
          <t>TM-TST-150</t>
        </is>
      </c>
      <c r="B153" s="14" t="inlineStr">
        <is>
          <t>TM-REQ-150</t>
        </is>
      </c>
      <c r="C153" s="14" t="inlineStr">
        <is>
          <t>R1</t>
        </is>
      </c>
      <c r="D153" s="14" t="inlineStr">
        <is>
          <t>G3</t>
        </is>
      </c>
      <c r="E153" s="14" t="inlineStr">
        <is>
          <t>auto</t>
        </is>
      </c>
      <c r="F153" s="14" t="inlineStr">
        <is>
          <t>Amounts in multiple currencies convert with a stated rate, date and source; stale rate is flagged.</t>
        </is>
      </c>
      <c r="G153" s="14" t="inlineStr">
        <is>
          <t>synthetic demo set (labelled)</t>
        </is>
      </c>
      <c r="H153" s="14" t="n"/>
      <c r="I153" s="14" t="inlineStr">
        <is>
          <t>Not run — specification stage</t>
        </is>
      </c>
      <c r="J153" s="14" t="n"/>
      <c r="K153" s="14" t="n"/>
    </row>
    <row r="154" ht="21.75" customHeight="1" s="10">
      <c r="A154" s="14" t="inlineStr">
        <is>
          <t>TM-TST-151</t>
        </is>
      </c>
      <c r="B154" s="14" t="inlineStr">
        <is>
          <t>TM-REQ-151</t>
        </is>
      </c>
      <c r="C154" s="14" t="inlineStr">
        <is>
          <t>R0</t>
        </is>
      </c>
      <c r="D154" s="14" t="inlineStr">
        <is>
          <t>G3</t>
        </is>
      </c>
      <c r="E154" s="14" t="inlineStr">
        <is>
          <t>static-scan</t>
        </is>
      </c>
      <c r="F154" s="14" t="inlineStr">
        <is>
          <t>Finance, legal, tax, medical and religious screens carry the standard advice-boundary note and an expert-review flag; 0 screens without it.</t>
        </is>
      </c>
      <c r="G154" s="14" t="inlineStr">
        <is>
          <t>code/bundle/UI-string scan + synthetic data</t>
        </is>
      </c>
      <c r="H154" s="14" t="n"/>
      <c r="I154" s="14" t="inlineStr">
        <is>
          <t>Not run — specification stage</t>
        </is>
      </c>
      <c r="J154" s="14" t="n"/>
      <c r="K154" s="14" t="n"/>
    </row>
    <row r="155" ht="15" customHeight="1" s="10">
      <c r="A155" s="14" t="inlineStr">
        <is>
          <t>TM-TST-152</t>
        </is>
      </c>
      <c r="B155" s="14" t="inlineStr">
        <is>
          <t>TM-REQ-152</t>
        </is>
      </c>
      <c r="C155" s="14" t="inlineStr">
        <is>
          <t>R1</t>
        </is>
      </c>
      <c r="D155" s="14" t="inlineStr">
        <is>
          <t>G3</t>
        </is>
      </c>
      <c r="E155" s="14" t="inlineStr">
        <is>
          <t>auto</t>
        </is>
      </c>
      <c r="F155" s="14" t="inlineStr">
        <is>
          <t>Goals and experiments have a risk entry and stop criteria; reaching a stop criterion prompts review.</t>
        </is>
      </c>
      <c r="G155" s="14" t="inlineStr">
        <is>
          <t>synthetic demo set (labelled)</t>
        </is>
      </c>
      <c r="H155" s="14" t="n"/>
      <c r="I155" s="14" t="inlineStr">
        <is>
          <t>Not run — specification stage</t>
        </is>
      </c>
      <c r="J155" s="14" t="n"/>
      <c r="K155" s="14" t="n"/>
    </row>
    <row r="156" ht="21.75" customHeight="1" s="10">
      <c r="A156" s="14" t="inlineStr">
        <is>
          <t>TM-TST-153</t>
        </is>
      </c>
      <c r="B156" s="14" t="inlineStr">
        <is>
          <t>TM-REQ-153</t>
        </is>
      </c>
      <c r="C156" s="14" t="inlineStr">
        <is>
          <t>R1</t>
        </is>
      </c>
      <c r="D156" s="14" t="inlineStr">
        <is>
          <t>G3</t>
        </is>
      </c>
      <c r="E156" s="14" t="inlineStr">
        <is>
          <t>auto</t>
        </is>
      </c>
      <c r="F156" s="14" t="inlineStr">
        <is>
          <t>Export to JSON, CSV and PDF reproduces all user data; re-import round-trips 100% of a fixture; data dictionary file is generated.</t>
        </is>
      </c>
      <c r="G156" s="14" t="inlineStr">
        <is>
          <t>synthetic demo set (labelled)</t>
        </is>
      </c>
      <c r="H156" s="14" t="n"/>
      <c r="I156" s="14" t="inlineStr">
        <is>
          <t>Not run — specification stage</t>
        </is>
      </c>
      <c r="J156" s="14" t="n"/>
      <c r="K156" s="14" t="n"/>
    </row>
    <row r="157" ht="21.75" customHeight="1" s="10">
      <c r="A157" s="14" t="inlineStr">
        <is>
          <t>TM-TST-154</t>
        </is>
      </c>
      <c r="B157" s="14" t="inlineStr">
        <is>
          <t>TM-REQ-154</t>
        </is>
      </c>
      <c r="C157" s="14" t="inlineStr">
        <is>
          <t>R1</t>
        </is>
      </c>
      <c r="D157" s="14" t="inlineStr">
        <is>
          <t>G3</t>
        </is>
      </c>
      <c r="E157" s="14" t="inlineStr">
        <is>
          <t>auto</t>
        </is>
      </c>
      <c r="F157" s="14" t="inlineStr">
        <is>
          <t>A new domain/module/custom field is added without rebuilding existing data; versioned field catalog migrates.</t>
        </is>
      </c>
      <c r="G157" s="14" t="inlineStr">
        <is>
          <t>synthetic demo set (labelled)</t>
        </is>
      </c>
      <c r="H157" s="14" t="n"/>
      <c r="I157" s="14" t="inlineStr">
        <is>
          <t>Not run — specification stage</t>
        </is>
      </c>
      <c r="J157" s="14" t="n"/>
      <c r="K157" s="14" t="n"/>
    </row>
    <row r="158" ht="21.75" customHeight="1" s="10">
      <c r="A158" s="14" t="inlineStr">
        <is>
          <t>TM-TST-155</t>
        </is>
      </c>
      <c r="B158" s="14" t="inlineStr">
        <is>
          <t>TM-REQ-155</t>
        </is>
      </c>
      <c r="C158" s="14" t="inlineStr">
        <is>
          <t>R0</t>
        </is>
      </c>
      <c r="D158" s="14" t="inlineStr">
        <is>
          <t>G7</t>
        </is>
      </c>
      <c r="E158" s="14" t="inlineStr">
        <is>
          <t>device</t>
        </is>
      </c>
      <c r="F158" s="14" t="inlineStr">
        <is>
          <t>App-lock/biometric works; lock-screen notifications hide worship and finance detail by default; lost-passphrase recovery path is tested.</t>
        </is>
      </c>
      <c r="G158" s="14" t="inlineStr">
        <is>
          <t>real Android device matrix + synthetic data</t>
        </is>
      </c>
      <c r="H158" s="14" t="inlineStr">
        <is>
          <t>D-B</t>
        </is>
      </c>
      <c r="I158" s="14" t="inlineStr">
        <is>
          <t>Not run — specification stage</t>
        </is>
      </c>
      <c r="J158" s="14" t="n"/>
      <c r="K158" s="14" t="n"/>
    </row>
    <row r="159" ht="21.75" customHeight="1" s="10">
      <c r="A159" s="14" t="inlineStr">
        <is>
          <t>TM-TST-156</t>
        </is>
      </c>
      <c r="B159" s="14" t="inlineStr">
        <is>
          <t>TM-REQ-156</t>
        </is>
      </c>
      <c r="C159" s="14" t="inlineStr">
        <is>
          <t>R0</t>
        </is>
      </c>
      <c r="D159" s="14" t="inlineStr">
        <is>
          <t>G7</t>
        </is>
      </c>
      <c r="E159" s="14" t="inlineStr">
        <is>
          <t>auto</t>
        </is>
      </c>
      <c r="F159" s="14" t="inlineStr">
        <is>
          <t>Deletion request tombstones the record, keeps only minimal audit metadata, and removes content in 100% of 10 cases.</t>
        </is>
      </c>
      <c r="G159" s="14" t="inlineStr">
        <is>
          <t>synthetic demo set (labelled)</t>
        </is>
      </c>
      <c r="H159" s="14" t="inlineStr">
        <is>
          <t>D-B</t>
        </is>
      </c>
      <c r="I159" s="14" t="inlineStr">
        <is>
          <t>Not run — specification stage</t>
        </is>
      </c>
      <c r="J159" s="14" t="n"/>
      <c r="K159" s="14" t="n"/>
    </row>
    <row r="160" ht="15" customHeight="1" s="10">
      <c r="A160" s="14" t="inlineStr">
        <is>
          <t>TM-TST-157</t>
        </is>
      </c>
      <c r="B160" s="14" t="inlineStr">
        <is>
          <t>TM-REQ-157</t>
        </is>
      </c>
      <c r="C160" s="14" t="inlineStr">
        <is>
          <t>R1</t>
        </is>
      </c>
      <c r="D160" s="14" t="inlineStr">
        <is>
          <t>G3</t>
        </is>
      </c>
      <c r="E160" s="14" t="inlineStr">
        <is>
          <t>auto</t>
        </is>
      </c>
      <c r="F160" s="14" t="inlineStr">
        <is>
          <t>Health, learning and family goals/routines can be created, are private by default, and respect capacity.</t>
        </is>
      </c>
      <c r="G160" s="14" t="inlineStr">
        <is>
          <t>synthetic demo set (labelled)</t>
        </is>
      </c>
      <c r="H160" s="14" t="n"/>
      <c r="I160" s="14" t="inlineStr">
        <is>
          <t>Not run — specification stage</t>
        </is>
      </c>
      <c r="J160" s="14" t="n"/>
      <c r="K160" s="14" t="n"/>
    </row>
    <row r="161" ht="21.75" customHeight="1" s="10">
      <c r="A161" s="14" t="inlineStr">
        <is>
          <t>TM-TST-158</t>
        </is>
      </c>
      <c r="B161" s="14" t="inlineStr">
        <is>
          <t>TM-REQ-158</t>
        </is>
      </c>
      <c r="C161" s="14" t="inlineStr">
        <is>
          <t>R1</t>
        </is>
      </c>
      <c r="D161" s="14" t="inlineStr">
        <is>
          <t>G3</t>
        </is>
      </c>
      <c r="E161" s="14" t="inlineStr">
        <is>
          <t>usability</t>
        </is>
      </c>
      <c r="F161" s="14" t="inlineStr">
        <is>
          <t>Goal tree, timeline, Gantt/Kanban, resource map, readiness map, plan-diff and option board render from live data; each has a text equivalent.</t>
        </is>
      </c>
      <c r="G161" s="14" t="inlineStr">
        <is>
          <t>test users with synthetic profile</t>
        </is>
      </c>
      <c r="H161" s="14" t="n"/>
      <c r="I161" s="14" t="inlineStr">
        <is>
          <t>Not run — specification stage</t>
        </is>
      </c>
      <c r="J161" s="14" t="n"/>
      <c r="K161" s="14" t="n"/>
    </row>
    <row r="162" ht="21.75" customHeight="1" s="10">
      <c r="A162" s="14" t="inlineStr">
        <is>
          <t>TM-TST-159</t>
        </is>
      </c>
      <c r="B162" s="14" t="inlineStr">
        <is>
          <t>TM-REQ-159</t>
        </is>
      </c>
      <c r="C162" s="14" t="inlineStr">
        <is>
          <t>R0</t>
        </is>
      </c>
      <c r="D162" s="14" t="inlineStr">
        <is>
          <t>G0</t>
        </is>
      </c>
      <c r="E162" s="14" t="inlineStr">
        <is>
          <t>process</t>
        </is>
      </c>
      <c r="F162" s="14" t="inlineStr">
        <is>
          <t>Original three documents attached and read first-hand; every image logged in the visual register; user statements listed as sources.</t>
        </is>
      </c>
      <c r="G162" s="14" t="inlineStr">
        <is>
          <t>register scripts/checklist</t>
        </is>
      </c>
      <c r="H162" s="14" t="n"/>
      <c r="I162" s="14" t="inlineStr">
        <is>
          <t>Not run — specification stage</t>
        </is>
      </c>
      <c r="J162" s="14" t="n"/>
      <c r="K162" s="14" t="n"/>
    </row>
    <row r="163" ht="21.75" customHeight="1" s="10">
      <c r="A163" s="14" t="inlineStr">
        <is>
          <t>TM-TST-160</t>
        </is>
      </c>
      <c r="B163" s="14" t="inlineStr">
        <is>
          <t>TM-REQ-160</t>
        </is>
      </c>
      <c r="C163" s="14" t="inlineStr">
        <is>
          <t>R1</t>
        </is>
      </c>
      <c r="D163" s="14" t="inlineStr">
        <is>
          <t>G2</t>
        </is>
      </c>
      <c r="E163" s="14" t="inlineStr">
        <is>
          <t>device</t>
        </is>
      </c>
      <c r="F163" s="14" t="inlineStr">
        <is>
          <t>Local scheduled notifications fire offline on the target device within 60 seconds of schedule in 20/20 trials.</t>
        </is>
      </c>
      <c r="G163" s="14" t="inlineStr">
        <is>
          <t>real Android device matrix + synthetic data</t>
        </is>
      </c>
      <c r="H163" s="14" t="inlineStr">
        <is>
          <t>D-A</t>
        </is>
      </c>
      <c r="I163" s="14" t="inlineStr">
        <is>
          <t>Not run — specification stage</t>
        </is>
      </c>
      <c r="J163" s="14" t="n"/>
      <c r="K163" s="14" t="n"/>
    </row>
    <row r="164" ht="15" customHeight="1" s="10">
      <c r="A164" s="14" t="inlineStr">
        <is>
          <t>TM-TST-161</t>
        </is>
      </c>
      <c r="B164" s="14" t="inlineStr">
        <is>
          <t>TM-REQ-161</t>
        </is>
      </c>
      <c r="C164" s="14" t="inlineStr">
        <is>
          <t>R1</t>
        </is>
      </c>
      <c r="D164" s="14" t="inlineStr">
        <is>
          <t>G1</t>
        </is>
      </c>
      <c r="E164" s="14" t="inlineStr">
        <is>
          <t>human-review</t>
        </is>
      </c>
      <c r="F164" s="14" t="inlineStr">
        <is>
          <t>Glossary and field-help exist in Bangla for 100% of finance, Islamic and business terms; reviewer sign-off.</t>
        </is>
      </c>
      <c r="G164" s="14" t="inlineStr">
        <is>
          <t>review pack + synthetic data</t>
        </is>
      </c>
      <c r="H164" s="14" t="n"/>
      <c r="I164" s="14" t="inlineStr">
        <is>
          <t>Partial (G1) — Bangla glossary (30 terms) + field help exist. Human reviewer sign-off NOT done</t>
        </is>
      </c>
      <c r="J164" s="14" t="inlineStr">
        <is>
          <t>src/catalog/glossary.ts</t>
        </is>
      </c>
      <c r="K164" s="14" t="n"/>
    </row>
    <row r="165" ht="15" customHeight="1" s="10">
      <c r="A165" s="14" t="inlineStr">
        <is>
          <t>TM-TST-162</t>
        </is>
      </c>
      <c r="B165" s="14" t="inlineStr">
        <is>
          <t>TM-REQ-162</t>
        </is>
      </c>
      <c r="C165" s="14" t="inlineStr">
        <is>
          <t>R1</t>
        </is>
      </c>
      <c r="D165" s="14" t="inlineStr">
        <is>
          <t>G3</t>
        </is>
      </c>
      <c r="E165" s="14" t="inlineStr">
        <is>
          <t>auto</t>
        </is>
      </c>
      <c r="F165" s="14" t="inlineStr">
        <is>
          <t>User facts older than the configured age are flagged on any recommendation using them.</t>
        </is>
      </c>
      <c r="G165" s="14" t="inlineStr">
        <is>
          <t>synthetic demo set (labelled)</t>
        </is>
      </c>
      <c r="H165" s="14" t="n"/>
      <c r="I165" s="14" t="inlineStr">
        <is>
          <t>Not run — specification stage</t>
        </is>
      </c>
      <c r="J165" s="14" t="n"/>
      <c r="K165" s="14" t="n"/>
    </row>
    <row r="166" ht="21.75" customHeight="1" s="10">
      <c r="A166" s="14" t="inlineStr">
        <is>
          <t>TM-TST-163</t>
        </is>
      </c>
      <c r="B166" s="14" t="inlineStr">
        <is>
          <t>TM-REQ-163</t>
        </is>
      </c>
      <c r="C166" s="14" t="inlineStr">
        <is>
          <t>R1</t>
        </is>
      </c>
      <c r="D166" s="14" t="inlineStr">
        <is>
          <t>G2</t>
        </is>
      </c>
      <c r="E166" s="14" t="inlineStr">
        <is>
          <t>device</t>
        </is>
      </c>
      <c r="F166" s="14" t="inlineStr">
        <is>
          <t>Cold start &lt;= 3 s and database &lt;= defined size on the low-end profile; budgets recorded.</t>
        </is>
      </c>
      <c r="G166" s="14" t="inlineStr">
        <is>
          <t>real Android device matrix + synthetic data</t>
        </is>
      </c>
      <c r="H166" s="14" t="inlineStr">
        <is>
          <t>D-A</t>
        </is>
      </c>
      <c r="I166" s="14" t="inlineStr">
        <is>
          <t>Not run — specification stage</t>
        </is>
      </c>
      <c r="J166" s="14" t="n"/>
      <c r="K166" s="14" t="n"/>
    </row>
    <row r="167" ht="15" customHeight="1" s="10">
      <c r="A167" s="14" t="inlineStr">
        <is>
          <t>TM-TST-164</t>
        </is>
      </c>
      <c r="B167" s="14" t="inlineStr">
        <is>
          <t>TM-REQ-164</t>
        </is>
      </c>
      <c r="C167" s="14" t="inlineStr">
        <is>
          <t>R2</t>
        </is>
      </c>
      <c r="D167" s="14" t="inlineStr">
        <is>
          <t>G8</t>
        </is>
      </c>
      <c r="E167" s="14" t="inlineStr">
        <is>
          <t>process</t>
        </is>
      </c>
      <c r="F167" s="14" t="inlineStr">
        <is>
          <t>Limited sharing (family/accountant) only after explicit owner confirmation of this requirement.</t>
        </is>
      </c>
      <c r="G167" s="14" t="inlineStr">
        <is>
          <t>register scripts/checklist</t>
        </is>
      </c>
      <c r="H167" s="14" t="n"/>
      <c r="I167" s="14" t="inlineStr">
        <is>
          <t>Not run — specification stage</t>
        </is>
      </c>
      <c r="J167" s="14" t="n"/>
      <c r="K167" s="14" t="n"/>
    </row>
    <row r="168" ht="21.75" customHeight="1" s="10">
      <c r="A168" s="14" t="inlineStr">
        <is>
          <t>TM-TST-165</t>
        </is>
      </c>
      <c r="B168" s="14" t="inlineStr">
        <is>
          <t>TM-REQ-165</t>
        </is>
      </c>
      <c r="C168" s="14" t="inlineStr">
        <is>
          <t>R1</t>
        </is>
      </c>
      <c r="D168" s="14" t="inlineStr">
        <is>
          <t>G3</t>
        </is>
      </c>
      <c r="E168" s="14" t="inlineStr">
        <is>
          <t>auto</t>
        </is>
      </c>
      <c r="F168" s="14" t="inlineStr">
        <is>
          <t>Assessment (interests, strengths, values, skills with evidence, resources, constraints) completes with unknown allowed; path suggestions before completion carry an 'incomplete' label.</t>
        </is>
      </c>
      <c r="G168" s="14" t="inlineStr">
        <is>
          <t>synthetic demo set (labelled)</t>
        </is>
      </c>
      <c r="H168" s="14" t="n"/>
      <c r="I168" s="14" t="inlineStr">
        <is>
          <t>Not run — specification stage</t>
        </is>
      </c>
      <c r="J168" s="14" t="n"/>
      <c r="K168" s="14" t="n"/>
    </row>
    <row r="169" ht="21.75" customHeight="1" s="10">
      <c r="A169" s="14" t="inlineStr">
        <is>
          <t>TM-TST-166</t>
        </is>
      </c>
      <c r="B169" s="14" t="inlineStr">
        <is>
          <t>TM-REQ-166</t>
        </is>
      </c>
      <c r="C169" s="14" t="inlineStr">
        <is>
          <t>R1</t>
        </is>
      </c>
      <c r="D169" s="14" t="inlineStr">
        <is>
          <t>G3</t>
        </is>
      </c>
      <c r="E169" s="14" t="inlineStr">
        <is>
          <t>usability</t>
        </is>
      </c>
      <c r="F169" s="14" t="inlineStr">
        <is>
          <t>Passing a gate shows a Gate Passed moment, a journey-log entry and before/after progress; 5 users rate it motivating &gt;=4/5; worship tracking shows no points or ranks.</t>
        </is>
      </c>
      <c r="G169" s="14" t="inlineStr">
        <is>
          <t>test users with synthetic profile</t>
        </is>
      </c>
      <c r="H169" s="14" t="n"/>
      <c r="I169" s="14" t="inlineStr">
        <is>
          <t>Partial (G1) — Stage rules + journey log work: order fixed, evidence required, history append-only, calm copy (scan), before/after logged; browser e2e A-&gt;B. Stage templates beyond A are generic; usability test NOT run</t>
        </is>
      </c>
      <c r="J169" s="14" t="inlineStr">
        <is>
          <t>tests/stages.test.ts; src/core/stages.ts; tools/e2e.mjs</t>
        </is>
      </c>
      <c r="K169" s="14" t="n"/>
    </row>
    <row r="170" ht="21.75" customHeight="1" s="10">
      <c r="A170" s="14" t="inlineStr">
        <is>
          <t>TM-TST-167</t>
        </is>
      </c>
      <c r="B170" s="14" t="inlineStr">
        <is>
          <t>TM-REQ-167</t>
        </is>
      </c>
      <c r="C170" s="14" t="inlineStr">
        <is>
          <t>R1</t>
        </is>
      </c>
      <c r="D170" s="14" t="inlineStr">
        <is>
          <t>G4</t>
        </is>
      </c>
      <c r="E170" s="14" t="inlineStr">
        <is>
          <t>auto</t>
        </is>
      </c>
      <c r="F170" s="14" t="inlineStr">
        <is>
          <t>Opportunity library holds &gt;=40 neutral skill/business families, each with required inputs and risks; ranking changes when assessment answers change; no family is pre-selected.</t>
        </is>
      </c>
      <c r="G170" s="14" t="inlineStr">
        <is>
          <t>synthetic demo set (labelled)</t>
        </is>
      </c>
      <c r="H170" s="14" t="n"/>
      <c r="I170" s="14" t="inlineStr">
        <is>
          <t>Not run — specification stage</t>
        </is>
      </c>
      <c r="J170" s="14" t="n"/>
      <c r="K170" s="14" t="n"/>
    </row>
    <row r="171" ht="21.75" customHeight="1" s="10">
      <c r="A171" s="14" t="inlineStr">
        <is>
          <t>TM-TST-168</t>
        </is>
      </c>
      <c r="B171" s="14" t="inlineStr">
        <is>
          <t>TM-REQ-168</t>
        </is>
      </c>
      <c r="C171" s="14" t="inlineStr">
        <is>
          <t>R0</t>
        </is>
      </c>
      <c r="D171" s="14" t="inlineStr">
        <is>
          <t>G3</t>
        </is>
      </c>
      <c r="E171" s="14" t="inlineStr">
        <is>
          <t>auto</t>
        </is>
      </c>
      <c r="F171" s="14" t="inlineStr">
        <is>
          <t>With AI and network disabled, the 'AI-free' flows (assessment, ladder, stage-gates, goals, finance maths, reality-changed, deen tracking) all complete; no screen blocks on AI.</t>
        </is>
      </c>
      <c r="G171" s="14" t="inlineStr">
        <is>
          <t>synthetic demo set (labelled)</t>
        </is>
      </c>
      <c r="H171" s="14" t="n"/>
      <c r="I171" s="14" t="inlineStr">
        <is>
          <t>Not run — specification stage</t>
        </is>
      </c>
      <c r="J171" s="14" t="n"/>
      <c r="K171" s="14" t="n"/>
    </row>
    <row r="172" ht="21.75" customHeight="1" s="10">
      <c r="A172" s="14" t="inlineStr">
        <is>
          <t>TM-TST-169</t>
        </is>
      </c>
      <c r="B172" s="14" t="inlineStr">
        <is>
          <t>TM-REQ-169</t>
        </is>
      </c>
      <c r="C172" s="14" t="inlineStr">
        <is>
          <t>R1</t>
        </is>
      </c>
      <c r="D172" s="14" t="inlineStr">
        <is>
          <t>G2</t>
        </is>
      </c>
      <c r="E172" s="14" t="inlineStr">
        <is>
          <t>device</t>
        </is>
      </c>
      <c r="F172" s="14" t="inlineStr">
        <is>
          <t>All core flows are designed and tested at phone width first; a desktop layout renders the same data without new data structures.</t>
        </is>
      </c>
      <c r="G172" s="14" t="inlineStr">
        <is>
          <t>real Android device matrix + synthetic data</t>
        </is>
      </c>
      <c r="H172" s="14" t="n"/>
      <c r="I172" s="14" t="inlineStr">
        <is>
          <t>Not run — specification stage</t>
        </is>
      </c>
      <c r="J172" s="14" t="n"/>
      <c r="K172" s="14" t="n"/>
    </row>
    <row r="173" ht="21.75" customHeight="1" s="10">
      <c r="A173" s="14" t="inlineStr">
        <is>
          <t>TM-TST-170</t>
        </is>
      </c>
      <c r="B173" s="14" t="inlineStr">
        <is>
          <t>TM-REQ-170</t>
        </is>
      </c>
      <c r="C173" s="14" t="inlineStr">
        <is>
          <t>R2</t>
        </is>
      </c>
      <c r="D173" s="14" t="inlineStr">
        <is>
          <t>G3</t>
        </is>
      </c>
      <c r="E173" s="14" t="inlineStr">
        <is>
          <t>auto</t>
        </is>
      </c>
      <c r="F173" s="14" t="inlineStr">
        <is>
          <t>Goal templates for non-business goals (study, fitness, habits) and an achievements view exist with owner_id separation; 0 multi-tenant or registration features enabled.</t>
        </is>
      </c>
      <c r="G173" s="14" t="inlineStr">
        <is>
          <t>synthetic demo set (labelled)</t>
        </is>
      </c>
      <c r="H173" s="14" t="n"/>
      <c r="I173" s="14" t="inlineStr">
        <is>
          <t>Not run — specification stage</t>
        </is>
      </c>
      <c r="J173" s="14" t="n"/>
      <c r="K173" s="14" t="n"/>
    </row>
    <row r="174" ht="21.75" customHeight="1" s="10">
      <c r="A174" s="14" t="inlineStr">
        <is>
          <t>TM-TST-171</t>
        </is>
      </c>
      <c r="B174" s="14" t="inlineStr">
        <is>
          <t>TM-REQ-171</t>
        </is>
      </c>
      <c r="C174" s="14" t="inlineStr">
        <is>
          <t>R1</t>
        </is>
      </c>
      <c r="D174" s="14" t="inlineStr">
        <is>
          <t>G3</t>
        </is>
      </c>
      <c r="E174" s="14" t="inlineStr">
        <is>
          <t>usability</t>
        </is>
      </c>
      <c r="F174" s="14" t="inlineStr">
        <is>
          <t>Home shows today's 1-3 actions and current gate only; everything else collapsed; 5 users find 'what do I do now' in &lt;=10 seconds.</t>
        </is>
      </c>
      <c r="G174" s="14" t="inlineStr">
        <is>
          <t>test users with synthetic profile</t>
        </is>
      </c>
      <c r="H174" s="14" t="n"/>
      <c r="I174" s="14" t="inlineStr">
        <is>
          <t>Partial (G1) — Home shows 1-3 own planned actions + current stage only (DOM test + browser e2e). 5-user 10-second usability test NOT run</t>
        </is>
      </c>
      <c r="J174" s="14" t="inlineStr">
        <is>
          <t>tests/g1.test.ts; tests/g3ui.test.ts; tools/e2e.mjs</t>
        </is>
      </c>
      <c r="K174" s="14" t="n"/>
    </row>
    <row r="175" ht="21.75" customHeight="1" s="10">
      <c r="A175" s="14" t="inlineStr">
        <is>
          <t>TM-TST-172</t>
        </is>
      </c>
      <c r="B175" s="14" t="inlineStr">
        <is>
          <t>TM-REQ-172</t>
        </is>
      </c>
      <c r="C175" s="14" t="inlineStr">
        <is>
          <t>R1</t>
        </is>
      </c>
      <c r="D175" s="14" t="inlineStr">
        <is>
          <t>G5</t>
        </is>
      </c>
      <c r="E175" s="14" t="inlineStr">
        <is>
          <t>human-review</t>
        </is>
      </c>
      <c r="F175" s="14" t="inlineStr">
        <is>
          <t>Ideas/instruments with riba, excessive uncertainty or prohibited sectors are flagged with a 'verify with a qualified source' path; the tool issues no ruling (30 prompts + reviewer sign-off).</t>
        </is>
      </c>
      <c r="G175" s="14" t="inlineStr">
        <is>
          <t>review pack + synthetic data</t>
        </is>
      </c>
      <c r="H175" s="14" t="inlineStr">
        <is>
          <t>D-D</t>
        </is>
      </c>
      <c r="I175" s="14" t="inlineStr">
        <is>
          <t>Not run — specification stage</t>
        </is>
      </c>
      <c r="J175" s="14" t="n"/>
      <c r="K175" s="14" t="n"/>
    </row>
  </sheetData>
  <autoFilter ref="A3:K17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100" customWidth="1" style="9" min="2" max="2"/>
    <col width="8" customWidth="1" style="9" min="3" max="3"/>
    <col width="48" customWidth="1" style="9" min="4" max="4"/>
  </cols>
  <sheetData>
    <row r="1" ht="15.75" customHeight="1" s="10">
      <c r="A1" s="11" t="inlineStr">
        <is>
          <t>INTENT REGISTER — what the user wants, by origin</t>
        </is>
      </c>
    </row>
    <row r="2" ht="15" customHeight="1" s="10">
      <c r="A2" s="15" t="inlineStr">
        <is>
          <t>U = user's own words (chat) · B = user-approved brief · S = source doc (second-hand) · P = later spec rule · I = assistant inference</t>
        </is>
      </c>
    </row>
    <row r="3" ht="15" customHeight="1" s="10">
      <c r="A3" s="12" t="inlineStr">
        <is>
          <t>INT ID</t>
        </is>
      </c>
      <c r="B3" s="12" t="inlineStr">
        <is>
          <t>Intent</t>
        </is>
      </c>
      <c r="C3" s="12" t="inlineStr">
        <is>
          <t>Origin</t>
        </is>
      </c>
      <c r="D3" s="12" t="inlineStr">
        <is>
          <t>Source / date</t>
        </is>
      </c>
    </row>
    <row r="4" ht="15" customHeight="1" s="10">
      <c r="A4" s="14" t="inlineStr">
        <is>
          <t>INT-01</t>
        </is>
      </c>
      <c r="B4" s="14" t="inlineStr">
        <is>
          <t>Start from current situation; scale local → national → international; exactly when/how to go international</t>
        </is>
      </c>
      <c r="C4" s="14" t="inlineStr">
        <is>
          <t>U</t>
        </is>
      </c>
      <c r="D4" s="14" t="inlineStr">
        <is>
          <t>Earlier project prompt (excerpt A1; message cut off)</t>
        </is>
      </c>
    </row>
    <row r="5" ht="15" customHeight="1" s="10">
      <c r="A5" s="14" t="inlineStr">
        <is>
          <t>INT-02</t>
        </is>
      </c>
      <c r="B5" s="14" t="inlineStr">
        <is>
          <t>Continue earlier deep research from where it stopped</t>
        </is>
      </c>
      <c r="C5" s="14" t="inlineStr">
        <is>
          <t>U</t>
        </is>
      </c>
      <c r="D5" s="14" t="inlineStr">
        <is>
          <t>Excerpt A2</t>
        </is>
      </c>
    </row>
    <row r="6" ht="15" customHeight="1" s="10">
      <c r="A6" s="14" t="inlineStr">
        <is>
          <t>INT-03</t>
        </is>
      </c>
      <c r="B6" s="14" t="inlineStr">
        <is>
          <t>Tool first (goal-setting art/format), then profile, then data</t>
        </is>
      </c>
      <c r="C6" s="14" t="inlineStr">
        <is>
          <t>U</t>
        </is>
      </c>
      <c r="D6" s="14" t="inlineStr">
        <is>
          <t>Excerpt B1</t>
        </is>
      </c>
    </row>
    <row r="7" ht="15" customHeight="1" s="10">
      <c r="A7" s="14" t="inlineStr">
        <is>
          <t>INT-04</t>
        </is>
      </c>
      <c r="B7" s="14" t="inlineStr">
        <is>
          <t>Fields explain themselves; user need not remember what to give</t>
        </is>
      </c>
      <c r="C7" s="14" t="inlineStr">
        <is>
          <t>U</t>
        </is>
      </c>
      <c r="D7" s="14" t="inlineStr">
        <is>
          <t>Excerpt B1</t>
        </is>
      </c>
    </row>
    <row r="8" ht="15" customHeight="1" s="10">
      <c r="A8" s="14" t="inlineStr">
        <is>
          <t>INT-05</t>
        </is>
      </c>
      <c r="B8" s="14" t="inlineStr">
        <is>
          <t>Update/exception → click, go online, 2–3 best options; save, customize, change if reality differs</t>
        </is>
      </c>
      <c r="C8" s="14" t="inlineStr">
        <is>
          <t>U</t>
        </is>
      </c>
      <c r="D8" s="14" t="inlineStr">
        <is>
          <t>Excerpt B1</t>
        </is>
      </c>
    </row>
    <row r="9" ht="15" customHeight="1" s="10">
      <c r="A9" s="14" t="inlineStr">
        <is>
          <t>INT-06</t>
        </is>
      </c>
      <c r="B9" s="14" t="inlineStr">
        <is>
          <t>Muslim identity: ibadah, prayer, akhirah goals; namaz, zakat, hajj, roza, dan and more</t>
        </is>
      </c>
      <c r="C9" s="14" t="inlineStr">
        <is>
          <t>U</t>
        </is>
      </c>
      <c r="D9" s="14" t="inlineStr">
        <is>
          <t>Excerpt B2</t>
        </is>
      </c>
    </row>
    <row r="10" ht="15" customHeight="1" s="10">
      <c r="A10" s="14" t="inlineStr">
        <is>
          <t>INT-07</t>
        </is>
      </c>
      <c r="B10" s="14" t="inlineStr">
        <is>
          <t>Worldly trillion is pointless without akhirah — whole tool and all updates keep this in mind</t>
        </is>
      </c>
      <c r="C10" s="14" t="inlineStr">
        <is>
          <t>U</t>
        </is>
      </c>
      <c r="D10" s="14" t="inlineStr">
        <is>
          <t>Excerpt B2</t>
        </is>
      </c>
    </row>
    <row r="11" ht="15" customHeight="1" s="10">
      <c r="A11" s="14" t="inlineStr">
        <is>
          <t>INT-08</t>
        </is>
      </c>
      <c r="B11" s="14" t="inlineStr">
        <is>
          <t>Explain intent simply in an md file + a file of the user's exact words</t>
        </is>
      </c>
      <c r="C11" s="14" t="inlineStr">
        <is>
          <t>U</t>
        </is>
      </c>
      <c r="D11" s="14" t="inlineStr">
        <is>
          <t>Excerpt B4</t>
        </is>
      </c>
    </row>
    <row r="12" ht="15" customHeight="1" s="10">
      <c r="A12" s="14" t="inlineStr">
        <is>
          <t>INT-09</t>
        </is>
      </c>
      <c r="B12" s="14" t="inlineStr">
        <is>
          <t>Full product scope with phased build; MVP must not shrink scope; document reasons for any deferral</t>
        </is>
      </c>
      <c r="C12" s="14" t="inlineStr">
        <is>
          <t>B</t>
        </is>
      </c>
      <c r="D12" s="14" t="inlineStr">
        <is>
          <t>Brief attachment; Clarification v2 §7</t>
        </is>
      </c>
    </row>
    <row r="13" ht="15" customHeight="1" s="10">
      <c r="A13" s="14" t="inlineStr">
        <is>
          <t>INT-10</t>
        </is>
      </c>
      <c r="B13" s="14" t="inlineStr">
        <is>
          <t>No personal data now; demo data separate</t>
        </is>
      </c>
      <c r="C13" s="14" t="inlineStr">
        <is>
          <t>U+B</t>
        </is>
      </c>
      <c r="D13" s="14" t="inlineStr">
        <is>
          <t>B1; Clarification §3</t>
        </is>
      </c>
    </row>
    <row r="14" ht="15" customHeight="1" s="10">
      <c r="A14" s="14" t="inlineStr">
        <is>
          <t>INT-11</t>
        </is>
      </c>
      <c r="B14" s="14" t="inlineStr">
        <is>
          <t>Do not push decisions to the user; give default, reason, 2–3 options, costs</t>
        </is>
      </c>
      <c r="C14" s="14" t="inlineStr">
        <is>
          <t>B</t>
        </is>
      </c>
      <c r="D14" s="14" t="inlineStr">
        <is>
          <t>Brief attachment</t>
        </is>
      </c>
    </row>
    <row r="15" ht="15" customHeight="1" s="10">
      <c r="A15" s="14" t="inlineStr">
        <is>
          <t>INT-12</t>
        </is>
      </c>
      <c r="B15" s="14" t="inlineStr">
        <is>
          <t>Business-neutral; many different ventures; ERP integration later, optional</t>
        </is>
      </c>
      <c r="C15" s="14" t="inlineStr">
        <is>
          <t>B</t>
        </is>
      </c>
      <c r="D15" s="14" t="inlineStr">
        <is>
          <t>Clarification BN §9</t>
        </is>
      </c>
    </row>
    <row r="16" ht="15" customHeight="1" s="10">
      <c r="A16" s="14" t="inlineStr">
        <is>
          <t>INT-13</t>
        </is>
      </c>
      <c r="B16" s="14" t="inlineStr">
        <is>
          <t>Deen architecture (privacy, schema, scheduling) from day one</t>
        </is>
      </c>
      <c r="C16" s="14" t="inlineStr">
        <is>
          <t>B</t>
        </is>
      </c>
      <c r="D16" s="14" t="inlineStr">
        <is>
          <t>Clarification BN §8</t>
        </is>
      </c>
    </row>
    <row r="17" ht="15" customHeight="1" s="10">
      <c r="A17" s="14" t="inlineStr">
        <is>
          <t>INT-14</t>
        </is>
      </c>
      <c r="B17" s="14" t="inlineStr">
        <is>
          <t>Overload, rest, minimum-capacity mode</t>
        </is>
      </c>
      <c r="C17" s="14" t="inlineStr">
        <is>
          <t>B</t>
        </is>
      </c>
      <c r="D17" s="14" t="inlineStr">
        <is>
          <t>Clarification BN §9</t>
        </is>
      </c>
    </row>
    <row r="18" ht="15" customHeight="1" s="10">
      <c r="A18" s="14" t="inlineStr">
        <is>
          <t>INT-15</t>
        </is>
      </c>
      <c r="B18" s="14" t="inlineStr">
        <is>
          <t>Show what is implemented / demo / offline / internet-needed</t>
        </is>
      </c>
      <c r="C18" s="14" t="inlineStr">
        <is>
          <t>B</t>
        </is>
      </c>
      <c r="D18" s="14" t="inlineStr">
        <is>
          <t>Clarification BN §13</t>
        </is>
      </c>
    </row>
    <row r="19" ht="15" customHeight="1" s="10">
      <c r="A19" s="14" t="inlineStr">
        <is>
          <t>INT-16</t>
        </is>
      </c>
      <c r="B19" s="14" t="inlineStr">
        <is>
          <t>Goal tree, flowchart, resource map, timeline, option cards — data-connected</t>
        </is>
      </c>
      <c r="C19" s="14" t="inlineStr">
        <is>
          <t>S+B</t>
        </is>
      </c>
      <c r="D19" s="14" t="inlineStr">
        <is>
          <t>Context D4; Visual BN</t>
        </is>
      </c>
    </row>
    <row r="20" ht="15" customHeight="1" s="10">
      <c r="A20" s="14" t="inlineStr">
        <is>
          <t>INT-17</t>
        </is>
      </c>
      <c r="B20" s="14" t="inlineStr">
        <is>
          <t>Multi-level goal hierarchy, backward planning, dependencies, habits</t>
        </is>
      </c>
      <c r="C20" s="14" t="inlineStr">
        <is>
          <t>S</t>
        </is>
      </c>
      <c r="D20" s="14" t="inlineStr">
        <is>
          <t>Context D2</t>
        </is>
      </c>
    </row>
    <row r="21" ht="15" customHeight="1" s="10">
      <c r="A21" s="14" t="inlineStr">
        <is>
          <t>INT-18</t>
        </is>
      </c>
      <c r="B21" s="14" t="inlineStr">
        <is>
          <t>Local/national/international market research, opportunity ranking, stop/go</t>
        </is>
      </c>
      <c r="C21" s="14" t="inlineStr">
        <is>
          <t>S</t>
        </is>
      </c>
      <c r="D21" s="14" t="inlineStr">
        <is>
          <t>Context D3</t>
        </is>
      </c>
    </row>
    <row r="22" ht="15" customHeight="1" s="10">
      <c r="A22" s="14" t="inlineStr">
        <is>
          <t>INT-19</t>
        </is>
      </c>
      <c r="B22" s="14" t="inlineStr">
        <is>
          <t>Automation rules, integrations, second brain</t>
        </is>
      </c>
      <c r="C22" s="14" t="inlineStr">
        <is>
          <t>S</t>
        </is>
      </c>
      <c r="D22" s="14" t="inlineStr">
        <is>
          <t>Context D7</t>
        </is>
      </c>
    </row>
    <row r="23" ht="15" customHeight="1" s="10">
      <c r="A23" s="14" t="inlineStr">
        <is>
          <t>INT-20</t>
        </is>
      </c>
      <c r="B23" s="14" t="inlineStr">
        <is>
          <t>Reviews, skill-gap refresh, add modules without rebuild</t>
        </is>
      </c>
      <c r="C23" s="14" t="inlineStr">
        <is>
          <t>S</t>
        </is>
      </c>
      <c r="D23" s="14" t="inlineStr">
        <is>
          <t>Context D9</t>
        </is>
      </c>
    </row>
    <row r="24" ht="15" customHeight="1" s="10">
      <c r="A24" s="14" t="inlineStr">
        <is>
          <t>INT-21</t>
        </is>
      </c>
      <c r="B24" s="14" t="inlineStr">
        <is>
          <t>Bengali+English, 30/90/180-day plan, KPI, diagrams, risk checklist</t>
        </is>
      </c>
      <c r="C24" s="14" t="inlineStr">
        <is>
          <t>S</t>
        </is>
      </c>
      <c r="D24" s="14" t="inlineStr">
        <is>
          <t>Context D10 (reconcile)</t>
        </is>
      </c>
    </row>
    <row r="25" ht="15" customHeight="1" s="10">
      <c r="A25" s="14" t="inlineStr">
        <is>
          <t>INT-22</t>
        </is>
      </c>
      <c r="B25" s="14" t="inlineStr">
        <is>
          <t>AI = analysis layer; DB = truth; least privilege; injection defence; cost control</t>
        </is>
      </c>
      <c r="C25" s="14" t="inlineStr">
        <is>
          <t>P</t>
        </is>
      </c>
      <c r="D25" s="14" t="inlineStr">
        <is>
          <t>Master Prompt; OpenAI Appendix</t>
        </is>
      </c>
    </row>
    <row r="26" ht="15" customHeight="1" s="10">
      <c r="A26" s="14" t="inlineStr">
        <is>
          <t>INT-23</t>
        </is>
      </c>
      <c r="B26" s="14" t="inlineStr">
        <is>
          <t>Platform/model/hosting/law/licence questions (assistant-raised, not user decisions)</t>
        </is>
      </c>
      <c r="C26" s="14" t="inlineStr">
        <is>
          <t>I</t>
        </is>
      </c>
      <c r="D26" s="14" t="inlineStr">
        <is>
          <t>Earlier assistant replies</t>
        </is>
      </c>
    </row>
    <row r="27" ht="15" customHeight="1" s="10">
      <c r="A27" s="14" t="inlineStr">
        <is>
          <t>INT-24</t>
        </is>
      </c>
      <c r="B27" s="14" t="inlineStr">
        <is>
          <t>Limited sharing with family/accountant</t>
        </is>
      </c>
      <c r="C27" s="14" t="inlineStr">
        <is>
          <t>I</t>
        </is>
      </c>
      <c r="D27" s="14" t="inlineStr">
        <is>
          <t>Not in any document; needs owner confirmation</t>
        </is>
      </c>
    </row>
    <row r="28" ht="15" customHeight="1" s="10">
      <c r="A28" s="14" t="inlineStr">
        <is>
          <t>INT-25</t>
        </is>
      </c>
      <c r="B28" s="14" t="inlineStr">
        <is>
          <t>People fall behind from unclear goals and no plan; wants a concrete plan, diary-like simplicity</t>
        </is>
      </c>
      <c r="C28" s="14" t="inlineStr">
        <is>
          <t>U</t>
        </is>
      </c>
      <c r="D28" s="14" t="inlineStr">
        <is>
          <t>Chat 22 Oct 02:24</t>
        </is>
      </c>
    </row>
    <row r="29" ht="15" customHeight="1" s="10">
      <c r="A29" s="14" t="inlineStr">
        <is>
          <t>INT-26</t>
        </is>
      </c>
      <c r="B29" s="14" t="inlineStr">
        <is>
          <t>Reality rarely follows plan; keep main target, change path/plan; keep consistency</t>
        </is>
      </c>
      <c r="C29" s="14" t="inlineStr">
        <is>
          <t>U</t>
        </is>
      </c>
      <c r="D29" s="14" t="inlineStr">
        <is>
          <t>Chat 22 Oct 02:24</t>
        </is>
      </c>
    </row>
    <row r="30" ht="15" customHeight="1" s="10">
      <c r="A30" s="14" t="inlineStr">
        <is>
          <t>INT-27</t>
        </is>
      </c>
      <c r="B30" s="14" t="inlineStr">
        <is>
          <t>Goal in money terms (Trillionaire); break it down to start work</t>
        </is>
      </c>
      <c r="C30" s="14" t="inlineStr">
        <is>
          <t>U</t>
        </is>
      </c>
      <c r="D30" s="14" t="inlineStr">
        <is>
          <t>Chat 22 Oct 02:24</t>
        </is>
      </c>
    </row>
    <row r="31" ht="15" customHeight="1" s="10">
      <c r="A31" s="14" t="inlineStr">
        <is>
          <t>INT-28</t>
        </is>
      </c>
      <c r="B31" s="14" t="inlineStr">
        <is>
          <t>Skill, talent, effort pursued sincerely together with ibadah</t>
        </is>
      </c>
      <c r="C31" s="14" t="inlineStr">
        <is>
          <t>U</t>
        </is>
      </c>
      <c r="D31" s="14" t="inlineStr">
        <is>
          <t>Chat 22 Oct 02:24</t>
        </is>
      </c>
    </row>
    <row r="32" ht="15" customHeight="1" s="10">
      <c r="A32" s="14" t="inlineStr">
        <is>
          <t>INT-29</t>
        </is>
      </c>
      <c r="B32" s="14" t="inlineStr">
        <is>
          <t>Personal first, later public: anyone sets any goal, tracks progress, sees achievements</t>
        </is>
      </c>
      <c r="C32" s="14" t="inlineStr">
        <is>
          <t>U</t>
        </is>
      </c>
      <c r="D32" s="14" t="inlineStr">
        <is>
          <t>Chat 22 Oct 02:26</t>
        </is>
      </c>
    </row>
    <row r="33" ht="15" customHeight="1" s="10">
      <c r="A33" s="14" t="inlineStr">
        <is>
          <t>INT-30</t>
        </is>
      </c>
      <c r="B33" s="14" t="inlineStr">
        <is>
          <t>Full analysis of what the user is good at / interested in BEFORE the journey starts</t>
        </is>
      </c>
      <c r="C33" s="14" t="inlineStr">
        <is>
          <t>U</t>
        </is>
      </c>
      <c r="D33" s="14" t="inlineStr">
        <is>
          <t>Chat 22 Oct 02:24</t>
        </is>
      </c>
    </row>
    <row r="34" ht="15" customHeight="1" s="10">
      <c r="A34" s="14" t="inlineStr">
        <is>
          <t>INT-31</t>
        </is>
      </c>
      <c r="B34" s="14" t="inlineStr">
        <is>
          <t>Business-neutral, world-wide, any skill/business, matched to the user's assessment</t>
        </is>
      </c>
      <c r="C34" s="14" t="inlineStr">
        <is>
          <t>U</t>
        </is>
      </c>
      <c r="D34" s="14" t="inlineStr">
        <is>
          <t>Chat 22 Oct 02:28</t>
        </is>
      </c>
    </row>
    <row r="35" ht="15" customHeight="1" s="10">
      <c r="A35" s="14" t="inlineStr">
        <is>
          <t>INT-32</t>
        </is>
      </c>
      <c r="B35" s="14" t="inlineStr">
        <is>
          <t>Reference images are ideas, not to copy; goal needs many things combined; not everything at once</t>
        </is>
      </c>
      <c r="C35" s="14" t="inlineStr">
        <is>
          <t>U</t>
        </is>
      </c>
      <c r="D35" s="14" t="inlineStr">
        <is>
          <t>Chat 22 Oct 02:49</t>
        </is>
      </c>
    </row>
    <row r="36" ht="15" customHeight="1" s="10">
      <c r="A36" s="14" t="inlineStr">
        <is>
          <t>INT-33</t>
        </is>
      </c>
      <c r="B36" s="14" t="inlineStr">
        <is>
          <t>Advanced, unique system; stage-gates give self-satisfaction and inspiration; every element designed that way</t>
        </is>
      </c>
      <c r="C36" s="14" t="inlineStr">
        <is>
          <t>U</t>
        </is>
      </c>
      <c r="D36" s="14" t="inlineStr">
        <is>
          <t>Chat 22 Oct 02:49</t>
        </is>
      </c>
    </row>
    <row r="37" ht="15" customHeight="1" s="10">
      <c r="A37" s="14" t="inlineStr">
        <is>
          <t>INT-34</t>
        </is>
      </c>
      <c r="B37" s="14" t="inlineStr">
        <is>
          <t>Android and PC; start with one version — phone design first</t>
        </is>
      </c>
      <c r="C37" s="14" t="inlineStr">
        <is>
          <t>U</t>
        </is>
      </c>
      <c r="D37" s="14" t="inlineStr">
        <is>
          <t>Chat 22 Oct 02:49</t>
        </is>
      </c>
    </row>
    <row r="38" ht="15" customHeight="1" s="10">
      <c r="A38" s="14" t="inlineStr">
        <is>
          <t>INT-35</t>
        </is>
      </c>
      <c r="B38" s="14" t="inlineStr">
        <is>
          <t>Cannot set up AI now; design so ~80% works without AI; AI integration later</t>
        </is>
      </c>
      <c r="C38" s="14" t="inlineStr">
        <is>
          <t>U</t>
        </is>
      </c>
      <c r="D38" s="14" t="inlineStr">
        <is>
          <t>Chat 22 Oct 02:52</t>
        </is>
      </c>
    </row>
    <row r="39" ht="15" customHeight="1" s="10">
      <c r="A39" s="14" t="inlineStr">
        <is>
          <t>INT-36</t>
        </is>
      </c>
      <c r="B39" s="14" t="inlineStr">
        <is>
          <t>Specification work here; code build later in Claude Code</t>
        </is>
      </c>
      <c r="C39" s="14" t="inlineStr">
        <is>
          <t>B</t>
        </is>
      </c>
      <c r="D39" s="14" t="inlineStr">
        <is>
          <t>Chat 22 Oct 02:53–03:02 (accepted)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9" min="1" max="1"/>
    <col width="28" customWidth="1" style="9" min="2" max="2"/>
    <col width="70" customWidth="1" style="9" min="3" max="4"/>
    <col width="28" customWidth="1" style="9" min="5" max="5"/>
  </cols>
  <sheetData>
    <row r="1" ht="15.75" customHeight="1" s="10">
      <c r="A1" s="11" t="inlineStr">
        <is>
          <t>BUILD GATES — full scope kept; gates decide order and proof</t>
        </is>
      </c>
    </row>
    <row r="2" ht="15" customHeight="1" s="10">
      <c r="A2" s="15" t="inlineStr">
        <is>
          <t>A gate passes only with the listed evidence from the real build. Document existence never passes a gate.</t>
        </is>
      </c>
    </row>
    <row r="3" ht="15" customHeight="1" s="10">
      <c r="A3" s="12" t="inlineStr">
        <is>
          <t>Gate</t>
        </is>
      </c>
      <c r="B3" s="12" t="inlineStr">
        <is>
          <t>Name</t>
        </is>
      </c>
      <c r="C3" s="12" t="inlineStr">
        <is>
          <t>Deliverables</t>
        </is>
      </c>
      <c r="D3" s="12" t="inlineStr">
        <is>
          <t>Pass evidence</t>
        </is>
      </c>
      <c r="E3" s="12" t="inlineStr">
        <is>
          <t>When</t>
        </is>
      </c>
    </row>
    <row r="4" ht="15" customHeight="1" s="10">
      <c r="A4" s="14" t="inlineStr">
        <is>
          <t>G0</t>
        </is>
      </c>
      <c r="B4" s="14" t="inlineStr">
        <is>
          <t>Spec freeze</t>
        </is>
      </c>
      <c r="C4" s="14" t="inlineStr">
        <is>
          <t>Canonical Spec + Register + Conflict/Deferral + visual register</t>
        </is>
      </c>
      <c r="D4" s="14" t="inlineStr">
        <is>
          <t>Every INT has &gt;=1 REQ; 0 untraced REQ (script); owner written 'ok'</t>
        </is>
      </c>
      <c r="E4" s="14" t="inlineStr">
        <is>
          <t>Now</t>
        </is>
      </c>
    </row>
    <row r="5" ht="21.75" customHeight="1" s="10">
      <c r="A5" s="14" t="inlineStr">
        <is>
          <t>G1</t>
        </is>
      </c>
      <c r="B5" s="14" t="inlineStr">
        <is>
          <t>Safe shell + field catalog</t>
        </is>
      </c>
      <c r="C5" s="14" t="inlineStr">
        <is>
          <t>All modules (empty), phone design, field help, demo namespace, Capability Status, Deen/venture/assessment schema, One-Focus Home on demo data</t>
        </is>
      </c>
      <c r="D5" s="14" t="inlineStr">
        <is>
          <t>100% fields have help+privacy class; empty-start test; demo→real impossible test; screenshot report</t>
        </is>
      </c>
      <c r="E5" s="14" t="inlineStr">
        <is>
          <t>After G0</t>
        </is>
      </c>
    </row>
    <row r="6" ht="21.75" customHeight="1" s="10">
      <c r="A6" s="14" t="inlineStr">
        <is>
          <t>G2</t>
        </is>
      </c>
      <c r="B6" s="14" t="inlineStr">
        <is>
          <t>Android offline prototype</t>
        </is>
      </c>
      <c r="C6" s="14" t="inlineStr">
        <is>
          <t>Local DB, queue, conflict, backup/restore, notifications; PWA vs native comparison</t>
        </is>
      </c>
      <c r="D6" s="14" t="inlineStr">
        <is>
          <t>Real-device airplane-mode, interrupted-sync, duplicate replay, clean-device restore — logs+video; device matrix</t>
        </is>
      </c>
      <c r="E6" s="14" t="inlineStr">
        <is>
          <t>After G1</t>
        </is>
      </c>
    </row>
    <row r="7" ht="21.75" customHeight="1" s="10">
      <c r="A7" s="14" t="inlineStr">
        <is>
          <t>G3</t>
        </is>
      </c>
      <c r="B7" s="14" t="inlineStr">
        <is>
          <t>Rule-based planner (≈80% without AI)</t>
        </is>
      </c>
      <c r="C7" s="14" t="inlineStr">
        <is>
          <t>Assessment, ladder, path fit, stage-gates+achievements, goals/habits, finance maths, capacity, reality-changed, overload, deen tracking (no scripture)</t>
        </is>
      </c>
      <c r="D7" s="14" t="inlineStr">
        <is>
          <t>Golden tests; unknown≠0 property test; constraint tests; usability study</t>
        </is>
      </c>
      <c r="E7" s="14" t="inlineStr">
        <is>
          <t>After G2</t>
        </is>
      </c>
    </row>
    <row r="8" ht="21.75" customHeight="1" s="10">
      <c r="A8" s="14" t="inlineStr">
        <is>
          <t>G4</t>
        </is>
      </c>
      <c r="B8" s="14" t="inlineStr">
        <is>
          <t>Research &amp; options</t>
        </is>
      </c>
      <c r="C8" s="14" t="inlineStr">
        <is>
          <t>Click-consent research, option schema, save/customize/reject/own/replace, stale marks, library sources</t>
        </is>
      </c>
      <c r="D8" s="14" t="inlineStr">
        <is>
          <t>0 network calls without click; &lt;2 options → fewer; source+date on every option</t>
        </is>
      </c>
      <c r="E8" s="14" t="inlineStr">
        <is>
          <t>After G3</t>
        </is>
      </c>
    </row>
    <row r="9" ht="21.75" customHeight="1" s="10">
      <c r="A9" s="14" t="inlineStr">
        <is>
          <t>G5</t>
        </is>
      </c>
      <c r="B9" s="14" t="inlineStr">
        <is>
          <t>Deen content verification</t>
        </is>
      </c>
      <c r="C9" s="14" t="inlineStr">
        <is>
          <t>Scripture licence/completeness, prayer-time methods, zakat rule versions, Hajj official sources, halal-check flags</t>
        </is>
      </c>
      <c r="D9" s="14" t="inlineStr">
        <is>
          <t>Licence file; verse-count checks; scholar review note; UI-string scan (no score/fatwa)</t>
        </is>
      </c>
      <c r="E9" s="14" t="inlineStr">
        <is>
          <t>Before real Deen data</t>
        </is>
      </c>
    </row>
    <row r="10" ht="15" customHeight="1" s="10">
      <c r="A10" s="14" t="inlineStr">
        <is>
          <t>G6</t>
        </is>
      </c>
      <c r="B10" s="14" t="inlineStr">
        <is>
          <t>AI &amp; automation</t>
        </is>
      </c>
      <c r="C10" s="14" t="inlineStr">
        <is>
          <t>Server-side proxy, tool scopes, cost caps, injection set, kill switch</t>
        </is>
      </c>
      <c r="D10" s="14" t="inlineStr">
        <is>
          <t>Red-team pass; 0 keys in client; spend-cap test</t>
        </is>
      </c>
      <c r="E10" s="14" t="inlineStr">
        <is>
          <t>Only after owner approves D-C</t>
        </is>
      </c>
    </row>
    <row r="11" ht="21.75" customHeight="1" s="10">
      <c r="A11" s="14" t="inlineStr">
        <is>
          <t>G7</t>
        </is>
      </c>
      <c r="B11" s="14" t="inlineStr">
        <is>
          <t>Privacy, recovery, real data</t>
        </is>
      </c>
      <c r="C11" s="14" t="inlineStr">
        <is>
          <t>Legal review, data-rights flows, incident runbook, full restore test</t>
        </is>
      </c>
      <c r="D11" s="14" t="inlineStr">
        <is>
          <t>Lawyer written review; clean-device restore; all R0 tests pass</t>
        </is>
      </c>
      <c r="E11" s="14" t="inlineStr">
        <is>
          <t>Before real sensitive data (or D-B device-only rule)</t>
        </is>
      </c>
    </row>
    <row r="12" ht="15" customHeight="1" s="10">
      <c r="A12" s="14" t="inlineStr">
        <is>
          <t>G8</t>
        </is>
      </c>
      <c r="B12" s="14" t="inlineStr">
        <is>
          <t>Pilot → PC → public decision</t>
        </is>
      </c>
      <c r="C12" s="14" t="inlineStr">
        <is>
          <t>Synthetic then approved real data; PC version; public-edition gate</t>
        </is>
      </c>
      <c r="D12" s="14" t="inlineStr">
        <is>
          <t>Regression report; actual vs predicted; tenant isolation if public</t>
        </is>
      </c>
      <c r="E12" s="14" t="inlineStr">
        <is>
          <t>After G7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30" customWidth="1" style="9" min="2" max="2"/>
    <col width="32" customWidth="1" style="9" min="3" max="3"/>
    <col width="36" customWidth="1" style="9" min="4" max="4"/>
    <col width="60" customWidth="1" style="9" min="5" max="5"/>
    <col width="16" customWidth="1" style="9" min="6" max="6"/>
    <col width="30" customWidth="1" style="9" min="7" max="7"/>
    <col width="36" customWidth="1" style="9" min="8" max="8"/>
  </cols>
  <sheetData>
    <row r="1" ht="15.75" customHeight="1" s="10">
      <c r="A1" s="11" t="inlineStr">
        <is>
          <t>DECISIONS — every default is UNAPPROVED until the owner says so</t>
        </is>
      </c>
    </row>
    <row r="2" ht="15" customHeight="1" s="10">
      <c r="A2" s="15" t="inlineStr">
        <is>
          <t>Resolved-by-user rows come from the user's own words.</t>
        </is>
      </c>
    </row>
    <row r="3" ht="15" customHeight="1" s="10">
      <c r="A3" s="12" t="inlineStr">
        <is>
          <t>ID</t>
        </is>
      </c>
      <c r="B3" s="12" t="inlineStr">
        <is>
          <t>Decision</t>
        </is>
      </c>
      <c r="C3" s="12" t="inlineStr">
        <is>
          <t>Why it matters</t>
        </is>
      </c>
      <c r="D3" s="12" t="inlineStr">
        <is>
          <t>Proposed default (unapproved)</t>
        </is>
      </c>
      <c r="E3" s="12" t="inlineStr">
        <is>
          <t>Options (pros/cons/cost)</t>
        </is>
      </c>
      <c r="F3" s="12" t="inlineStr">
        <is>
          <t>When needed</t>
        </is>
      </c>
      <c r="G3" s="12" t="inlineStr">
        <is>
          <t>State</t>
        </is>
      </c>
      <c r="H3" s="12" t="inlineStr">
        <is>
          <t>Safe work meanwhile</t>
        </is>
      </c>
    </row>
    <row r="4" ht="32.25" customHeight="1" s="10">
      <c r="A4" s="14" t="inlineStr">
        <is>
          <t>D-A</t>
        </is>
      </c>
      <c r="B4" s="14" t="inlineStr">
        <is>
          <t>Technology: PWA vs native Android</t>
        </is>
      </c>
      <c r="C4" s="14" t="inlineStr">
        <is>
          <t>Offline storage, notifications, backup depend on it</t>
        </is>
      </c>
      <c r="D4" s="14" t="inlineStr">
        <is>
          <t>PWA-first (one codebase phone+PC)</t>
        </is>
      </c>
      <c r="E4" s="14" t="inlineStr">
        <is>
          <t>(1) PWA: ~free, one code, no store; risk: Android background limits · (2) Native Kotlin/Flutter: best OS fit; more time; store account fee (verify) · (3) PWA+Capacitor wrapper: middle</t>
        </is>
      </c>
      <c r="F4" s="14" t="inlineStr">
        <is>
          <t>Before G2 prototype</t>
        </is>
      </c>
      <c r="G4" s="14" t="inlineStr">
        <is>
          <t>APPROVED by owner, 22 Oct 2026 (PWA-first)</t>
        </is>
      </c>
      <c r="H4" s="14" t="inlineStr">
        <is>
          <t>Schema, field catalog, planner in portable TypeScript, UX</t>
        </is>
      </c>
    </row>
    <row r="5" ht="32.25" customHeight="1" s="10">
      <c r="A5" s="14" t="inlineStr">
        <is>
          <t>D-B</t>
        </is>
      </c>
      <c r="B5" s="14" t="inlineStr">
        <is>
          <t>When real personal data may enter</t>
        </is>
      </c>
      <c r="C5" s="14" t="inlineStr">
        <is>
          <t>Matrix blocks real sensitive data until G7 legal review</t>
        </is>
      </c>
      <c r="D5" s="14" t="inlineStr">
        <is>
          <t>Device-only mode (no cloud/AI/sharing) after G3 + backup/restore pass — assistant proposal relaxing the matrix</t>
        </is>
      </c>
      <c r="E5" s="14" t="inlineStr">
        <is>
          <t>(1) Strict: wait for G7 · (2) Device-only after G3 (proposed) · (3) Cloud from start (risky; legal/cost)</t>
        </is>
      </c>
      <c r="F5" s="14" t="inlineStr">
        <is>
          <t>After G3</t>
        </is>
      </c>
      <c r="G5" s="14" t="inlineStr">
        <is>
          <t>Open — needs owner approval</t>
        </is>
      </c>
      <c r="H5" s="14" t="inlineStr">
        <is>
          <t>G0–G3 all on synthetic data</t>
        </is>
      </c>
    </row>
    <row r="6" ht="21.75" customHeight="1" s="10">
      <c r="A6" s="14" t="inlineStr">
        <is>
          <t>D-C</t>
        </is>
      </c>
      <c r="B6" s="14" t="inlineStr">
        <is>
          <t>AI provider and monthly spend cap</t>
        </is>
      </c>
      <c r="C6" s="14" t="inlineStr">
        <is>
          <t>API bill is separate; retention varies by feature</t>
        </is>
      </c>
      <c r="D6" s="14" t="inlineStr">
        <is>
          <t>No AI cost before G6</t>
        </is>
      </c>
      <c r="E6" s="14" t="inlineStr">
        <is>
          <t>(1) OpenAI API · (2) Provider-agnostic layer (proposed) · (3) Rule-based only</t>
        </is>
      </c>
      <c r="F6" s="14" t="inlineStr">
        <is>
          <t>Before G6</t>
        </is>
      </c>
      <c r="G6" s="14" t="inlineStr">
        <is>
          <t>Sequencing approved by user (AI later); provider/cap open</t>
        </is>
      </c>
      <c r="H6" s="14" t="inlineStr">
        <is>
          <t>Planner, research schema, tool contracts, regression set</t>
        </is>
      </c>
    </row>
    <row r="7" ht="21.75" customHeight="1" s="10">
      <c r="A7" s="14" t="inlineStr">
        <is>
          <t>D-D</t>
        </is>
      </c>
      <c r="B7" s="14" t="inlineStr">
        <is>
          <t>Scripture/tafsir content source and licence</t>
        </is>
      </c>
      <c r="C7" s="14" t="inlineStr">
        <is>
          <t>Completeness and licence/offline rights unverified</t>
        </is>
      </c>
      <c r="D7" s="14" t="inlineStr">
        <is>
          <t>No scripture text shipped; references/links only</t>
        </is>
      </c>
      <c r="E7" s="14" t="inlineStr">
        <is>
          <t>(1) Licensed open text + attribution (verify) · (2) Online API only · (3) Deep-link to user's own Mushaf app</t>
        </is>
      </c>
      <c r="F7" s="14" t="inlineStr">
        <is>
          <t>Before G5</t>
        </is>
      </c>
      <c r="G7" s="14" t="inlineStr">
        <is>
          <t>Open</t>
        </is>
      </c>
      <c r="H7" s="14" t="inlineStr">
        <is>
          <t>Prayer, fasting, zakat, giving, Hajj planning (no scripture text)</t>
        </is>
      </c>
    </row>
    <row r="8" ht="21.75" customHeight="1" s="10">
      <c r="A8" s="14" t="inlineStr">
        <is>
          <t>D-E</t>
        </is>
      </c>
      <c r="B8" s="14" t="inlineStr">
        <is>
          <t>UI theme direction</t>
        </is>
      </c>
      <c r="C8" s="14" t="inlineStr">
        <is>
          <t>Visual identity affects design start</t>
        </is>
      </c>
      <c r="D8" s="14" t="inlineStr">
        <is>
          <t>Follow the user's previously chosen brand theme</t>
        </is>
      </c>
      <c r="E8" s="14" t="inlineStr">
        <is>
          <t>(1) Dark+gold premium (image refs) · (2) Existing brand theme · (3) Light neutral</t>
        </is>
      </c>
      <c r="F8" s="14" t="inlineStr">
        <is>
          <t>Before G1 design</t>
        </is>
      </c>
      <c r="G8" s="14" t="inlineStr">
        <is>
          <t>APPROVED by owner, 22 Oct 2026 (Ink &amp; Paper theme)</t>
        </is>
      </c>
      <c r="H8" s="14" t="inlineStr">
        <is>
          <t>Structure, fields, flows are theme-neutral</t>
        </is>
      </c>
    </row>
    <row r="9" ht="21.75" customHeight="1" s="10">
      <c r="A9" s="14" t="inlineStr">
        <is>
          <t>DEC-001</t>
        </is>
      </c>
      <c r="B9" s="14" t="inlineStr">
        <is>
          <t>Define 'Trillionaire' metric</t>
        </is>
      </c>
      <c r="C9" s="14" t="n"/>
      <c r="D9" s="14" t="inlineStr">
        <is>
          <t>Side-by-side metrics inside the tool (X1)</t>
        </is>
      </c>
      <c r="E9" s="14" t="inlineStr">
        <is>
          <t>Metric selector in tool</t>
        </is>
      </c>
      <c r="F9" s="14" t="inlineStr">
        <is>
          <t>In-tool</t>
        </is>
      </c>
      <c r="G9" s="14" t="inlineStr">
        <is>
          <t>Resolved by design — no owner decision needed now</t>
        </is>
      </c>
      <c r="H9" s="14" t="n"/>
    </row>
    <row r="10" ht="15" customHeight="1" s="10">
      <c r="A10" s="14" t="inlineStr">
        <is>
          <t>DEC-002</t>
        </is>
      </c>
      <c r="B10" s="14" t="inlineStr">
        <is>
          <t>No personal data before tool ready</t>
        </is>
      </c>
      <c r="C10" s="14" t="n"/>
      <c r="D10" s="14" t="inlineStr">
        <is>
          <t>—</t>
        </is>
      </c>
      <c r="E10" s="14" t="inlineStr">
        <is>
          <t>—</t>
        </is>
      </c>
      <c r="F10" s="14" t="inlineStr">
        <is>
          <t>—</t>
        </is>
      </c>
      <c r="G10" s="14" t="inlineStr">
        <is>
          <t>Confirmed (user)</t>
        </is>
      </c>
      <c r="H10" s="14" t="n"/>
    </row>
    <row r="11" ht="15" customHeight="1" s="10">
      <c r="A11" s="14" t="inlineStr">
        <is>
          <t>DEC-003</t>
        </is>
      </c>
      <c r="B11" s="14" t="inlineStr">
        <is>
          <t>PWA vs native</t>
        </is>
      </c>
      <c r="C11" s="14" t="n"/>
      <c r="D11" s="14" t="inlineStr">
        <is>
          <t>see D-A</t>
        </is>
      </c>
      <c r="E11" s="14" t="n"/>
      <c r="F11" s="14" t="n"/>
      <c r="G11" s="14" t="inlineStr">
        <is>
          <t>→ D-A</t>
        </is>
      </c>
      <c r="H11" s="14" t="n"/>
    </row>
    <row r="12" ht="15" customHeight="1" s="10">
      <c r="A12" s="14" t="inlineStr">
        <is>
          <t>DEC-004</t>
        </is>
      </c>
      <c r="B12" s="14" t="inlineStr">
        <is>
          <t>AI provider and cap</t>
        </is>
      </c>
      <c r="C12" s="14" t="n"/>
      <c r="D12" s="14" t="inlineStr">
        <is>
          <t>see D-C</t>
        </is>
      </c>
      <c r="E12" s="14" t="n"/>
      <c r="F12" s="14" t="n"/>
      <c r="G12" s="14" t="inlineStr">
        <is>
          <t>→ D-C</t>
        </is>
      </c>
      <c r="H12" s="14" t="n"/>
    </row>
    <row r="13" ht="15" customHeight="1" s="10">
      <c r="A13" s="14" t="inlineStr">
        <is>
          <t>DEC-005</t>
        </is>
      </c>
      <c r="B13" s="14" t="inlineStr">
        <is>
          <t>Hosting, jurisdiction, legal review</t>
        </is>
      </c>
      <c r="C13" s="14" t="n"/>
      <c r="D13" s="14" t="inlineStr">
        <is>
          <t>see D-B + G7 lawyer review</t>
        </is>
      </c>
      <c r="E13" s="14" t="n"/>
      <c r="F13" s="14" t="n"/>
      <c r="G13" s="14" t="inlineStr">
        <is>
          <t>→ D-B / G7</t>
        </is>
      </c>
      <c r="H13" s="14" t="n"/>
    </row>
    <row r="14" ht="15" customHeight="1" s="10">
      <c r="A14" s="14" t="inlineStr">
        <is>
          <t>DEC-006</t>
        </is>
      </c>
      <c r="B14" s="14" t="inlineStr">
        <is>
          <t>Madhhab/scholar preference</t>
        </is>
      </c>
      <c r="C14" s="14" t="n"/>
      <c r="D14" s="14" t="inlineStr">
        <is>
          <t>Optional profile field</t>
        </is>
      </c>
      <c r="E14" s="14" t="n"/>
      <c r="F14" s="14" t="inlineStr">
        <is>
          <t>At Deen profile</t>
        </is>
      </c>
      <c r="G14" s="14" t="inlineStr">
        <is>
          <t>Not needed now</t>
        </is>
      </c>
      <c r="H14" s="14" t="n"/>
    </row>
    <row r="15" ht="15" customHeight="1" s="10">
      <c r="A15" s="14" t="inlineStr">
        <is>
          <t>DEC-007</t>
        </is>
      </c>
      <c r="B15" s="14" t="inlineStr">
        <is>
          <t>Scripture content licence</t>
        </is>
      </c>
      <c r="C15" s="14" t="n"/>
      <c r="D15" s="14" t="inlineStr">
        <is>
          <t>see D-D</t>
        </is>
      </c>
      <c r="E15" s="14" t="n"/>
      <c r="F15" s="14" t="n"/>
      <c r="G15" s="14" t="inlineStr">
        <is>
          <t>→ D-D</t>
        </is>
      </c>
      <c r="H15" s="14" t="n"/>
    </row>
    <row r="16" ht="15" customHeight="1" s="10">
      <c r="A16" s="14" t="inlineStr">
        <is>
          <t>DEC-008</t>
        </is>
      </c>
      <c r="B16" s="14" t="inlineStr">
        <is>
          <t>Budget framework / four buckets</t>
        </is>
      </c>
      <c r="C16" s="14" t="n"/>
      <c r="D16" s="14" t="inlineStr">
        <is>
          <t>Optional templates</t>
        </is>
      </c>
      <c r="E16" s="14" t="n"/>
      <c r="F16" s="14" t="n"/>
      <c r="G16" s="14" t="inlineStr">
        <is>
          <t>Safe default kept</t>
        </is>
      </c>
      <c r="H16" s="14" t="n"/>
    </row>
    <row r="17" ht="21.75" customHeight="1" s="10">
      <c r="A17" s="14" t="inlineStr">
        <is>
          <t>DEC-009</t>
        </is>
      </c>
      <c r="B17" s="14" t="inlineStr">
        <is>
          <t>ERP integration boundary</t>
        </is>
      </c>
      <c r="C17" s="14" t="n"/>
      <c r="D17" s="14" t="inlineStr">
        <is>
          <t>Standalone</t>
        </is>
      </c>
      <c r="E17" s="14" t="n"/>
      <c r="F17" s="14" t="n"/>
      <c r="G17" s="14" t="inlineStr">
        <is>
          <t>Resolved by user: business-neutral, ERP later optional</t>
        </is>
      </c>
      <c r="H17" s="14" t="n"/>
    </row>
    <row r="18" ht="21.75" customHeight="1" s="10">
      <c r="A18" s="14" t="inlineStr">
        <is>
          <t>DEC-010</t>
        </is>
      </c>
      <c r="B18" s="14" t="inlineStr">
        <is>
          <t>Public SaaS vs private</t>
        </is>
      </c>
      <c r="C18" s="14" t="n"/>
      <c r="D18" s="14" t="inlineStr">
        <is>
          <t>Private first</t>
        </is>
      </c>
      <c r="E18" s="14" t="n"/>
      <c r="F18" s="14" t="n"/>
      <c r="G18" s="14" t="inlineStr">
        <is>
          <t>Resolved by user: personal first, public later (G8)</t>
        </is>
      </c>
      <c r="H18" s="14" t="n"/>
    </row>
    <row r="19" ht="15" customHeight="1" s="10">
      <c r="A19" s="14" t="inlineStr">
        <is>
          <t>DEC-011</t>
        </is>
      </c>
      <c r="B19" s="14" t="inlineStr">
        <is>
          <t>External integrations</t>
        </is>
      </c>
      <c r="C19" s="14" t="n"/>
      <c r="D19" s="14" t="inlineStr">
        <is>
          <t>Off by default</t>
        </is>
      </c>
      <c r="E19" s="14" t="n"/>
      <c r="F19" s="14" t="inlineStr">
        <is>
          <t>G6+</t>
        </is>
      </c>
      <c r="G19" s="14" t="inlineStr">
        <is>
          <t>Safe default kept</t>
        </is>
      </c>
      <c r="H19" s="14" t="n"/>
    </row>
    <row r="20" ht="15" customHeight="1" s="10">
      <c r="A20" s="14" t="inlineStr">
        <is>
          <t>DEC-012</t>
        </is>
      </c>
      <c r="B20" s="14" t="inlineStr">
        <is>
          <t>Location and prayer-time method</t>
        </is>
      </c>
      <c r="C20" s="14" t="n"/>
      <c r="D20" s="14" t="inlineStr">
        <is>
          <t>Approximate region, user-chosen method</t>
        </is>
      </c>
      <c r="E20" s="14" t="n"/>
      <c r="F20" s="14" t="inlineStr">
        <is>
          <t>Deen profile</t>
        </is>
      </c>
      <c r="G20" s="14" t="inlineStr">
        <is>
          <t>Not needed now</t>
        </is>
      </c>
      <c r="H20" s="14" t="n"/>
    </row>
    <row r="21" ht="15" customHeight="1" s="10">
      <c r="A21" s="14" t="inlineStr">
        <is>
          <t>DEC-013</t>
        </is>
      </c>
      <c r="B21" s="14" t="inlineStr">
        <is>
          <t>Baseline confirmation (old figure)</t>
        </is>
      </c>
      <c r="C21" s="14" t="n"/>
      <c r="D21" s="14" t="inlineStr">
        <is>
          <t>Historical/unverified</t>
        </is>
      </c>
      <c r="E21" s="14" t="n"/>
      <c r="F21" s="14" t="inlineStr">
        <is>
          <t>Finance onboarding</t>
        </is>
      </c>
      <c r="G21" s="14" t="inlineStr">
        <is>
          <t>In-tool</t>
        </is>
      </c>
      <c r="H21" s="14" t="n"/>
    </row>
    <row r="22" ht="15" customHeight="1" s="10">
      <c r="A22" s="14" t="inlineStr">
        <is>
          <t>DEC-014</t>
        </is>
      </c>
      <c r="B22" s="14" t="inlineStr">
        <is>
          <t>Automation permissions</t>
        </is>
      </c>
      <c r="C22" s="14" t="n"/>
      <c r="D22" s="14" t="inlineStr">
        <is>
          <t>Per-action approval</t>
        </is>
      </c>
      <c r="E22" s="14" t="n"/>
      <c r="F22" s="14" t="inlineStr">
        <is>
          <t>Before automation</t>
        </is>
      </c>
      <c r="G22" s="14" t="inlineStr">
        <is>
          <t>Safe default kept</t>
        </is>
      </c>
      <c r="H22" s="14" t="n"/>
    </row>
    <row r="23" ht="15" customHeight="1" s="10">
      <c r="A23" s="14" t="inlineStr">
        <is>
          <t>DEC-015</t>
        </is>
      </c>
      <c r="B23" s="14" t="inlineStr">
        <is>
          <t>Offline content scope</t>
        </is>
      </c>
      <c r="C23" s="14" t="n"/>
      <c r="D23" s="14" t="inlineStr">
        <is>
          <t>Core offline; AI/research online</t>
        </is>
      </c>
      <c r="E23" s="14" t="n"/>
      <c r="F23" s="14" t="inlineStr">
        <is>
          <t>G2/G5</t>
        </is>
      </c>
      <c r="G23" s="14" t="inlineStr">
        <is>
          <t>Safe default kept</t>
        </is>
      </c>
      <c r="H23" s="14" t="n"/>
    </row>
    <row r="24" ht="15" customHeight="1" s="10">
      <c r="A24" s="14" t="inlineStr">
        <is>
          <t>DEC-016</t>
        </is>
      </c>
      <c r="B24" s="14" t="inlineStr">
        <is>
          <t>Productivity claims</t>
        </is>
      </c>
      <c r="C24" s="14" t="n"/>
      <c r="D24" s="14" t="inlineStr">
        <is>
          <t>Exclude until verified</t>
        </is>
      </c>
      <c r="E24" s="14" t="n"/>
      <c r="F24" s="14" t="inlineStr">
        <is>
          <t>Before copy</t>
        </is>
      </c>
      <c r="G24" s="14" t="inlineStr">
        <is>
          <t>Safe default kept</t>
        </is>
      </c>
      <c r="H24" s="14" t="n"/>
    </row>
    <row r="25" ht="15" customHeight="1" s="10">
      <c r="A25" s="14" t="inlineStr">
        <is>
          <t>DEC-017</t>
        </is>
      </c>
      <c r="B25" s="14" t="inlineStr">
        <is>
          <t>Completion/release gate definition</t>
        </is>
      </c>
      <c r="C25" s="14" t="n"/>
      <c r="D25" s="14" t="inlineStr">
        <is>
          <t>Evidence-based gates (this Register)</t>
        </is>
      </c>
      <c r="E25" s="14" t="n"/>
      <c r="F25" s="14" t="inlineStr">
        <is>
          <t>Every gate</t>
        </is>
      </c>
      <c r="G25" s="14" t="inlineStr">
        <is>
          <t>Rule confirmed</t>
        </is>
      </c>
      <c r="H25" s="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40" customWidth="1" style="9" min="2" max="2"/>
    <col width="48" customWidth="1" style="9" min="3" max="3"/>
    <col width="44" customWidth="1" style="9" min="4" max="4"/>
    <col width="18" customWidth="1" style="9" min="5" max="5"/>
    <col width="24" customWidth="1" style="9" min="6" max="6"/>
  </cols>
  <sheetData>
    <row r="1" ht="15.75" customHeight="1" s="10">
      <c r="A1" s="11" t="inlineStr">
        <is>
          <t>DEFERRALS — nothing dropped silently</t>
        </is>
      </c>
    </row>
    <row r="2" ht="15" customHeight="1" s="10">
      <c r="A2" s="15" t="inlineStr">
        <is>
          <t>Each deferral has reason, dependency, target gate, who decided.</t>
        </is>
      </c>
    </row>
    <row r="3" ht="15" customHeight="1" s="10">
      <c r="A3" s="12" t="inlineStr">
        <is>
          <t>ID</t>
        </is>
      </c>
      <c r="B3" s="12" t="inlineStr">
        <is>
          <t>Item</t>
        </is>
      </c>
      <c r="C3" s="12" t="inlineStr">
        <is>
          <t>Reason</t>
        </is>
      </c>
      <c r="D3" s="12" t="inlineStr">
        <is>
          <t>Dependency</t>
        </is>
      </c>
      <c r="E3" s="12" t="inlineStr">
        <is>
          <t>Target gate</t>
        </is>
      </c>
      <c r="F3" s="12" t="inlineStr">
        <is>
          <t>Decided by</t>
        </is>
      </c>
    </row>
    <row r="4" ht="15" customHeight="1" s="10">
      <c r="A4" s="14" t="inlineStr">
        <is>
          <t>DF-01</t>
        </is>
      </c>
      <c r="B4" s="14" t="inlineStr">
        <is>
          <t>PC/desktop version</t>
        </is>
      </c>
      <c r="C4" s="14" t="inlineStr">
        <is>
          <t>User: phone first</t>
        </is>
      </c>
      <c r="D4" s="14" t="inlineStr">
        <is>
          <t>Shared data/architecture from G1</t>
        </is>
      </c>
      <c r="E4" s="14" t="inlineStr">
        <is>
          <t>G8</t>
        </is>
      </c>
      <c r="F4" s="14" t="inlineStr">
        <is>
          <t>User (22 Oct)</t>
        </is>
      </c>
    </row>
    <row r="5" ht="15" customHeight="1" s="10">
      <c r="A5" s="14" t="inlineStr">
        <is>
          <t>DF-02</t>
        </is>
      </c>
      <c r="B5" s="14" t="inlineStr">
        <is>
          <t>Public Edition release</t>
        </is>
      </c>
      <c r="C5" s="14" t="inlineStr">
        <is>
          <t>User: personal first; public later</t>
        </is>
      </c>
      <c r="D5" s="14" t="inlineStr">
        <is>
          <t>Schema/templates in G1–G3; tenant isolation tests</t>
        </is>
      </c>
      <c r="E5" s="14" t="inlineStr">
        <is>
          <t>G8 (new approval)</t>
        </is>
      </c>
      <c r="F5" s="14" t="inlineStr">
        <is>
          <t>User (22 Oct)</t>
        </is>
      </c>
    </row>
    <row r="6" ht="15" customHeight="1" s="10">
      <c r="A6" s="14" t="inlineStr">
        <is>
          <t>DF-03</t>
        </is>
      </c>
      <c r="B6" s="14" t="inlineStr">
        <is>
          <t>AI integration</t>
        </is>
      </c>
      <c r="C6" s="14" t="inlineStr">
        <is>
          <t>User cannot set up AI now; design 80% AI-free</t>
        </is>
      </c>
      <c r="D6" s="14" t="inlineStr">
        <is>
          <t>AI interface contracts in G3; spend decision D-C</t>
        </is>
      </c>
      <c r="E6" s="14" t="inlineStr">
        <is>
          <t>G6</t>
        </is>
      </c>
      <c r="F6" s="14" t="inlineStr">
        <is>
          <t>User (22 Oct)</t>
        </is>
      </c>
    </row>
    <row r="7" ht="21.75" customHeight="1" s="10">
      <c r="A7" s="14" t="inlineStr">
        <is>
          <t>DF-04</t>
        </is>
      </c>
      <c r="B7" s="14" t="inlineStr">
        <is>
          <t>External integrations (calendar, email, CRM, payment)</t>
        </is>
      </c>
      <c r="C7" s="14" t="inlineStr">
        <is>
          <t>Opt-in, scoped; depend on core</t>
        </is>
      </c>
      <c r="D7" s="14" t="inlineStr">
        <is>
          <t>Planner stable; D-C/DEC-011</t>
        </is>
      </c>
      <c r="E7" s="14" t="inlineStr">
        <is>
          <t>G6+</t>
        </is>
      </c>
      <c r="F7" s="14" t="inlineStr">
        <is>
          <t>Register default</t>
        </is>
      </c>
    </row>
    <row r="8" ht="15" customHeight="1" s="10">
      <c r="A8" s="14" t="inlineStr">
        <is>
          <t>DF-05</t>
        </is>
      </c>
      <c r="B8" s="14" t="inlineStr">
        <is>
          <t>Limited sharing (family/accountant)</t>
        </is>
      </c>
      <c r="C8" s="14" t="inlineStr">
        <is>
          <t>Not in any source; assistant inference</t>
        </is>
      </c>
      <c r="D8" s="14" t="inlineStr">
        <is>
          <t>Owner confirmation (INT-24)</t>
        </is>
      </c>
      <c r="E8" s="14" t="inlineStr">
        <is>
          <t>G8</t>
        </is>
      </c>
      <c r="F8" s="14" t="inlineStr">
        <is>
          <t>Assistant — pending owner</t>
        </is>
      </c>
    </row>
    <row r="9" ht="15" customHeight="1" s="10">
      <c r="A9" s="14" t="inlineStr">
        <is>
          <t>DF-06</t>
        </is>
      </c>
      <c r="B9" s="14" t="inlineStr">
        <is>
          <t>2D/3D visual extras</t>
        </is>
      </c>
      <c r="C9" s="14" t="inlineStr">
        <is>
          <t>P2; core visuals first</t>
        </is>
      </c>
      <c r="D9" s="14" t="inlineStr">
        <is>
          <t>Visual catalogue (MR-17) done</t>
        </is>
      </c>
      <c r="E9" s="14" t="inlineStr">
        <is>
          <t>G8</t>
        </is>
      </c>
      <c r="F9" s="14" t="inlineStr">
        <is>
          <t>Register default</t>
        </is>
      </c>
    </row>
    <row r="10" ht="15" customHeight="1" s="10">
      <c r="A10" s="14" t="inlineStr">
        <is>
          <t>DF-07</t>
        </is>
      </c>
      <c r="B10" s="14" t="inlineStr">
        <is>
          <t>ERP integration</t>
        </is>
      </c>
      <c r="C10" s="14" t="inlineStr">
        <is>
          <t>User: business-neutral; ERP later optional</t>
        </is>
      </c>
      <c r="D10" s="14" t="inlineStr">
        <is>
          <t>Standalone core</t>
        </is>
      </c>
      <c r="E10" s="14" t="inlineStr">
        <is>
          <t>Unscheduled</t>
        </is>
      </c>
      <c r="F10" s="14" t="inlineStr">
        <is>
          <t>User</t>
        </is>
      </c>
    </row>
    <row r="11" ht="15" customHeight="1" s="10">
      <c r="A11" s="14" t="inlineStr">
        <is>
          <t>DF-08</t>
        </is>
      </c>
      <c r="B11" s="14" t="inlineStr">
        <is>
          <t>Scripture text inside the app</t>
        </is>
      </c>
      <c r="C11" s="14" t="inlineStr">
        <is>
          <t>Licence/completeness unverified</t>
        </is>
      </c>
      <c r="D11" s="14" t="inlineStr">
        <is>
          <t>D-D</t>
        </is>
      </c>
      <c r="E11" s="14" t="inlineStr">
        <is>
          <t>G5</t>
        </is>
      </c>
      <c r="F11" s="14" t="inlineStr">
        <is>
          <t>Register default</t>
        </is>
      </c>
    </row>
    <row r="12" ht="15" customHeight="1" s="10">
      <c r="A12" s="14" t="inlineStr">
        <is>
          <t>DF-09</t>
        </is>
      </c>
      <c r="B12" s="14" t="inlineStr">
        <is>
          <t>Real sensitive data entry</t>
        </is>
      </c>
      <c r="C12" s="14" t="inlineStr">
        <is>
          <t>Privacy/recovery proof</t>
        </is>
      </c>
      <c r="D12" s="14" t="inlineStr">
        <is>
          <t>G7 or D-B device-only rule</t>
        </is>
      </c>
      <c r="E12" s="14" t="inlineStr">
        <is>
          <t>G7/G8</t>
        </is>
      </c>
      <c r="F12" s="14" t="inlineStr">
        <is>
          <t>Register default</t>
        </is>
      </c>
    </row>
    <row r="13" ht="15" customHeight="1" s="10">
      <c r="A13" s="14" t="inlineStr">
        <is>
          <t>DF-10</t>
        </is>
      </c>
      <c r="B13" s="14" t="inlineStr">
        <is>
          <t>Franchise/SaaS productisation</t>
        </is>
      </c>
      <c r="C13" s="14" t="inlineStr">
        <is>
          <t>Needs internal repeatability</t>
        </is>
      </c>
      <c r="D13" s="14" t="inlineStr">
        <is>
          <t>Venture data + 2 gates passed</t>
        </is>
      </c>
      <c r="E13" s="14" t="inlineStr">
        <is>
          <t>G8</t>
        </is>
      </c>
      <c r="F13" s="14" t="inlineStr">
        <is>
          <t>Source default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" min="1" max="1"/>
    <col width="46" customWidth="1" style="9" min="2" max="2"/>
    <col width="40" customWidth="1" style="9" min="3" max="3"/>
    <col width="70" customWidth="1" style="9" min="4" max="4"/>
    <col width="18" customWidth="1" style="9" min="5" max="5"/>
  </cols>
  <sheetData>
    <row r="1" ht="15.75" customHeight="1" s="10">
      <c r="A1" s="11" t="inlineStr">
        <is>
          <t>CONFLICT REGISTER — contradictions and how they were resolved</t>
        </is>
      </c>
    </row>
    <row r="3" ht="15" customHeight="1" s="10">
      <c r="A3" s="12" t="inlineStr">
        <is>
          <t>ID</t>
        </is>
      </c>
      <c r="B3" s="12" t="inlineStr">
        <is>
          <t>Item A</t>
        </is>
      </c>
      <c r="C3" s="12" t="inlineStr">
        <is>
          <t>Item B</t>
        </is>
      </c>
      <c r="D3" s="12" t="inlineStr">
        <is>
          <t>Resolution</t>
        </is>
      </c>
      <c r="E3" s="12" t="inlineStr">
        <is>
          <t>State</t>
        </is>
      </c>
    </row>
    <row r="4" ht="15" customHeight="1" s="10">
      <c r="A4" s="14" t="inlineStr">
        <is>
          <t>X1</t>
        </is>
      </c>
      <c r="B4" s="14" t="inlineStr">
        <is>
          <t>TM-REQ-001 test 'no roadmap from undefined metric'</t>
        </is>
      </c>
      <c r="C4" s="14" t="inlineStr">
        <is>
          <t>User: do not force decisions up front</t>
        </is>
      </c>
      <c r="D4" s="14" t="inlineStr">
        <is>
          <t>Side-by-side metrics, labelled roadmaps; no single trillion % before a metric is chosen</t>
        </is>
      </c>
      <c r="E4" s="14" t="inlineStr">
        <is>
          <t>Resolved in spec</t>
        </is>
      </c>
    </row>
    <row r="5" ht="21.75" customHeight="1" s="10">
      <c r="A5" s="14" t="inlineStr">
        <is>
          <t>X2</t>
        </is>
      </c>
      <c r="B5" s="14" t="inlineStr">
        <is>
          <t>TM-REQ-094 deletion right</t>
        </is>
      </c>
      <c r="C5" s="14" t="inlineStr">
        <is>
          <t>TM-REQ-008/046/125 history never lost</t>
        </is>
      </c>
      <c r="D5" s="14" t="inlineStr">
        <is>
          <t>History immutable until user asks to delete; then tombstone + minimal audit metadata (TM-REQ-156)</t>
        </is>
      </c>
      <c r="E5" s="14" t="inlineStr">
        <is>
          <t>Resolved in spec</t>
        </is>
      </c>
    </row>
    <row r="6" ht="15" customHeight="1" s="10">
      <c r="A6" s="14" t="inlineStr">
        <is>
          <t>X3</t>
        </is>
      </c>
      <c r="B6" s="14" t="inlineStr">
        <is>
          <t>TM-REQ-136 prototype-before-choice</t>
        </is>
      </c>
      <c r="C6" s="14" t="inlineStr">
        <is>
          <t>User: give default</t>
        </is>
      </c>
      <c r="D6" s="14" t="inlineStr">
        <is>
          <t>Declared default D-A (unapproved); prototype confirms</t>
        </is>
      </c>
      <c r="E6" s="14" t="inlineStr">
        <is>
          <t>Resolved in spec</t>
        </is>
      </c>
    </row>
    <row r="7" ht="15" customHeight="1" s="10">
      <c r="A7" s="14" t="inlineStr">
        <is>
          <t>X4</t>
        </is>
      </c>
      <c r="B7" s="14" t="inlineStr">
        <is>
          <t>TM-REQ-081 no continuous learning</t>
        </is>
      </c>
      <c r="C7" s="14" t="inlineStr">
        <is>
          <t>Context D9 recommendations update</t>
        </is>
      </c>
      <c r="D7" s="14" t="inlineStr">
        <is>
          <t>Wording: recalculation from saved data; no model training claim</t>
        </is>
      </c>
      <c r="E7" s="14" t="inlineStr">
        <is>
          <t>Resolved in spec</t>
        </is>
      </c>
    </row>
    <row r="8" ht="15" customHeight="1" s="10">
      <c r="A8" s="14" t="inlineStr">
        <is>
          <t>X5</t>
        </is>
      </c>
      <c r="B8" s="14" t="inlineStr">
        <is>
          <t>Earlier assistant 'MVP = gates 1–4, Deen later'</t>
        </is>
      </c>
      <c r="C8" s="14" t="inlineStr">
        <is>
          <t>Full scope + Deen day-one</t>
        </is>
      </c>
      <c r="D8" s="14" t="inlineStr">
        <is>
          <t>Full scope; Deen schema/privacy G1, content G5</t>
        </is>
      </c>
      <c r="E8" s="14" t="inlineStr">
        <is>
          <t>Resolved</t>
        </is>
      </c>
    </row>
    <row r="9" ht="15" customHeight="1" s="10">
      <c r="A9" s="14" t="inlineStr">
        <is>
          <t>X6</t>
        </is>
      </c>
      <c r="B9" s="14" t="inlineStr">
        <is>
          <t>Earlier assistant 'tie to owner's business/ERP'</t>
        </is>
      </c>
      <c r="C9" s="14" t="inlineStr">
        <is>
          <t>Business-neutral</t>
        </is>
      </c>
      <c r="D9" s="14" t="inlineStr">
        <is>
          <t>Standalone, neutral library</t>
        </is>
      </c>
      <c r="E9" s="14" t="inlineStr">
        <is>
          <t>Resolved</t>
        </is>
      </c>
    </row>
    <row r="10" ht="15" customHeight="1" s="10">
      <c r="A10" s="14" t="inlineStr">
        <is>
          <t>X7</t>
        </is>
      </c>
      <c r="B10" s="14" t="inlineStr">
        <is>
          <t>Image advice 'outwork everyone, take massive risks'</t>
        </is>
      </c>
      <c r="C10" s="14" t="inlineStr">
        <is>
          <t>Capacity, worship, family limits</t>
        </is>
      </c>
      <c r="D10" s="14" t="inlineStr">
        <is>
          <t>Plans capped by capacity; no hustle advice in the tool</t>
        </is>
      </c>
      <c r="E10" s="14" t="inlineStr">
        <is>
          <t>Resolved</t>
        </is>
      </c>
    </row>
    <row r="11" ht="15" customHeight="1" s="10">
      <c r="A11" s="14" t="inlineStr">
        <is>
          <t>X8</t>
        </is>
      </c>
      <c r="B11" s="14" t="inlineStr">
        <is>
          <t>Matrix phases 0–4 vs Build Gates 0–8</t>
        </is>
      </c>
      <c r="C11" s="14" t="inlineStr">
        <is>
          <t>—</t>
        </is>
      </c>
      <c r="D11" s="14" t="inlineStr">
        <is>
          <t>One vocabulary: G0–G8 only</t>
        </is>
      </c>
      <c r="E11" s="14" t="inlineStr">
        <is>
          <t>Resolved</t>
        </is>
      </c>
    </row>
    <row r="12" ht="15" customHeight="1" s="10">
      <c r="A12" s="14" t="inlineStr">
        <is>
          <t>X9</t>
        </is>
      </c>
      <c r="B12" s="14" t="inlineStr">
        <is>
          <t>Matrix P0 (71) vs audit P0 (10)</t>
        </is>
      </c>
      <c r="C12" s="14" t="inlineStr">
        <is>
          <t>Different scales</t>
        </is>
      </c>
      <c r="D12" s="14" t="inlineStr">
        <is>
          <t>R0/R1/R2 defined; audit severity kept separately</t>
        </is>
      </c>
      <c r="E12" s="14" t="inlineStr">
        <is>
          <t>Resolved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44" customWidth="1" style="9" min="2" max="2"/>
    <col width="20" customWidth="1" style="9" min="3" max="3"/>
    <col width="48" customWidth="1" style="9" min="4" max="4"/>
    <col width="56" customWidth="1" style="9" min="5" max="5"/>
  </cols>
  <sheetData>
    <row r="1" ht="15.75" customHeight="1" s="10">
      <c r="A1" s="11" t="inlineStr">
        <is>
          <t>VISUAL REFERENCE REGISTER — 37 unique project images (ideas only; never copy figures/claims)</t>
        </is>
      </c>
    </row>
    <row r="2" ht="15" customHeight="1" s="10">
      <c r="A2" s="15" t="inlineStr">
        <is>
          <t>All 37 viewed on 22 Oct 2026. Two files appear twice in the project listing.</t>
        </is>
      </c>
    </row>
    <row r="3" ht="15" customHeight="1" s="10">
      <c r="A3" s="12" t="inlineStr">
        <is>
          <t>File (start)</t>
        </is>
      </c>
      <c r="B3" s="12" t="inlineStr">
        <is>
          <t>Title</t>
        </is>
      </c>
      <c r="C3" s="12" t="inlineStr">
        <is>
          <t>Group</t>
        </is>
      </c>
      <c r="D3" s="12" t="inlineStr">
        <is>
          <t>Idea to borrow</t>
        </is>
      </c>
      <c r="E3" s="12" t="inlineStr">
        <is>
          <t>Caution / verdict</t>
        </is>
      </c>
    </row>
    <row r="4" ht="15" customHeight="1" s="10">
      <c r="A4" s="14" t="inlineStr">
        <is>
          <t>17159b37…</t>
        </is>
      </c>
      <c r="B4" s="14" t="inlineStr">
        <is>
          <t>Claude, Explained Like You're 5</t>
        </is>
      </c>
      <c r="C4" s="14" t="inlineStr">
        <is>
          <t>Tooling tips</t>
        </is>
      </c>
      <c r="D4" s="14" t="inlineStr">
        <is>
          <t>Not a product reference</t>
        </is>
      </c>
      <c r="E4" s="14" t="inlineStr">
        <is>
          <t>Out of scope</t>
        </is>
      </c>
    </row>
    <row r="5" ht="15" customHeight="1" s="10">
      <c r="A5" s="14" t="inlineStr">
        <is>
          <t>163bb133…</t>
        </is>
      </c>
      <c r="B5" s="14" t="inlineStr">
        <is>
          <t>How Billionaires Start &amp; Scale</t>
        </is>
      </c>
      <c r="C5" s="14" t="inlineStr">
        <is>
          <t>Path/strategy</t>
        </is>
      </c>
      <c r="D5" s="14" t="inlineStr">
        <is>
          <t>Numbered 8-card layout; start small → scale</t>
        </is>
      </c>
      <c r="E5" s="14" t="inlineStr">
        <is>
          <t>Claims are conceptual</t>
        </is>
      </c>
    </row>
    <row r="6" ht="15" customHeight="1" s="10">
      <c r="A6" s="14" t="inlineStr">
        <is>
          <t>b60b52ce…</t>
        </is>
      </c>
      <c r="B6" s="14" t="inlineStr">
        <is>
          <t>Billionaire in 100 Days</t>
        </is>
      </c>
      <c r="C6" s="14" t="inlineStr">
        <is>
          <t>Vision/hype</t>
        </is>
      </c>
      <c r="D6" s="14" t="inlineStr">
        <is>
          <t>Dashboard-card layout only</t>
        </is>
      </c>
      <c r="E6" s="14" t="inlineStr">
        <is>
          <t>Fabricated earnings; 'earn while you sleep' — never copy</t>
        </is>
      </c>
    </row>
    <row r="7" ht="15" customHeight="1" s="10">
      <c r="A7" s="14" t="inlineStr">
        <is>
          <t>5b4fa221…</t>
        </is>
      </c>
      <c r="B7" s="14" t="inlineStr">
        <is>
          <t>How to use Claude to start a business</t>
        </is>
      </c>
      <c r="C7" s="14" t="inlineStr">
        <is>
          <t>AI/tools</t>
        </is>
      </c>
      <c r="D7" s="14" t="inlineStr">
        <is>
          <t>9-step flow, daily brief idea</t>
        </is>
      </c>
      <c r="E7" s="14" t="inlineStr">
        <is>
          <t>Tool-specific advice</t>
        </is>
      </c>
    </row>
    <row r="8" ht="15" customHeight="1" s="10">
      <c r="A8" s="14" t="inlineStr">
        <is>
          <t>256a0095…</t>
        </is>
      </c>
      <c r="B8" s="14" t="inlineStr">
        <is>
          <t>AI Systems: Human Analogy</t>
        </is>
      </c>
      <c r="C8" s="14" t="inlineStr">
        <is>
          <t>AI/tools</t>
        </is>
      </c>
      <c r="D8" s="14" t="inlineStr">
        <is>
          <t>LLM/RAG/MCP/agent explainer idea</t>
        </is>
      </c>
      <c r="E8" s="14" t="inlineStr">
        <is>
          <t>Educational</t>
        </is>
      </c>
    </row>
    <row r="9" ht="15" customHeight="1" s="10">
      <c r="A9" s="14" t="inlineStr">
        <is>
          <t>3a58f82e…</t>
        </is>
      </c>
      <c r="B9" s="14" t="inlineStr">
        <is>
          <t>How Billionaires Invest</t>
        </is>
      </c>
      <c r="C9" s="14" t="inlineStr">
        <is>
          <t>Money/investing</t>
        </is>
      </c>
      <c r="D9" s="14" t="inlineStr">
        <is>
          <t>Allocation-card layout</t>
        </is>
      </c>
      <c r="E9" s="14" t="inlineStr">
        <is>
          <t>Percentages unverified; halal-check needed</t>
        </is>
      </c>
    </row>
    <row r="10" ht="15" customHeight="1" s="10">
      <c r="A10" s="14" t="inlineStr">
        <is>
          <t>de7b043b…</t>
        </is>
      </c>
      <c r="B10" s="14" t="inlineStr">
        <is>
          <t>Negotiate, Raise Capital, Build Wealth</t>
        </is>
      </c>
      <c r="C10" s="14" t="inlineStr">
        <is>
          <t>Path/strategy</t>
        </is>
      </c>
      <c r="D10" s="14" t="inlineStr">
        <is>
          <t>Three-pillar layout; capital paths</t>
        </is>
      </c>
      <c r="E10" s="14" t="inlineStr">
        <is>
          <t>Unverified</t>
        </is>
      </c>
    </row>
    <row r="11" ht="15" customHeight="1" s="10">
      <c r="A11" s="14" t="inlineStr">
        <is>
          <t>93f41d30…</t>
        </is>
      </c>
      <c r="B11" s="14" t="inlineStr">
        <is>
          <t>Royalties for Life</t>
        </is>
      </c>
      <c r="C11" s="14" t="inlineStr">
        <is>
          <t>Income</t>
        </is>
      </c>
      <c r="D11" s="14" t="inlineStr">
        <is>
          <t>Income-stream cards; create-once</t>
        </is>
      </c>
      <c r="E11" s="14" t="inlineStr">
        <is>
          <t>Unverified</t>
        </is>
      </c>
    </row>
    <row r="12" ht="15" customHeight="1" s="10">
      <c r="A12" s="14" t="inlineStr">
        <is>
          <t>8362d052…</t>
        </is>
      </c>
      <c r="B12" s="14" t="inlineStr">
        <is>
          <t>Intellectual Properties</t>
        </is>
      </c>
      <c r="C12" s="14" t="inlineStr">
        <is>
          <t>Income</t>
        </is>
      </c>
      <c r="D12" s="14" t="inlineStr">
        <is>
          <t>IP types &amp; protect steps</t>
        </is>
      </c>
      <c r="E12" s="14" t="inlineStr">
        <is>
          <t>General info only</t>
        </is>
      </c>
    </row>
    <row r="13" ht="15" customHeight="1" s="10">
      <c r="A13" s="14" t="inlineStr">
        <is>
          <t>81e2335f…</t>
        </is>
      </c>
      <c r="B13" s="14" t="inlineStr">
        <is>
          <t>10 Industries That Can Make You Rich</t>
        </is>
      </c>
      <c r="C13" s="14" t="inlineStr">
        <is>
          <t>Income</t>
        </is>
      </c>
      <c r="D13" s="14" t="inlineStr">
        <is>
          <t>Simple ranked list</t>
        </is>
      </c>
      <c r="E13" s="14" t="inlineStr">
        <is>
          <t>Not evidence-based</t>
        </is>
      </c>
    </row>
    <row r="14" ht="15" customHeight="1" s="10">
      <c r="A14" s="14" t="inlineStr">
        <is>
          <t>930e285c…</t>
        </is>
      </c>
      <c r="B14" s="14" t="inlineStr">
        <is>
          <t>The Dirty Money (AML flow)</t>
        </is>
      </c>
      <c r="C14" s="14" t="inlineStr">
        <is>
          <t>Money/compliance</t>
        </is>
      </c>
      <c r="D14" s="14" t="inlineStr">
        <is>
          <t>Flowchart with stages</t>
        </is>
      </c>
      <c r="E14" s="14" t="inlineStr">
        <is>
          <t>Legal claims unverified</t>
        </is>
      </c>
    </row>
    <row r="15" ht="15" customHeight="1" s="10">
      <c r="A15" s="14" t="inlineStr">
        <is>
          <t>dc857995…</t>
        </is>
      </c>
      <c r="B15" s="14" t="inlineStr">
        <is>
          <t>Rockefeller Wealth Blueprint</t>
        </is>
      </c>
      <c r="C15" s="14" t="inlineStr">
        <is>
          <t>Path/strategy</t>
        </is>
      </c>
      <c r="D15" s="14" t="inlineStr">
        <is>
          <t>Stepwise arrows</t>
        </is>
      </c>
      <c r="E15" s="14" t="inlineStr">
        <is>
          <t>Some tactics unethical — do not adopt</t>
        </is>
      </c>
    </row>
    <row r="16" ht="15" customHeight="1" s="10">
      <c r="A16" s="14" t="inlineStr">
        <is>
          <t>04f64646…</t>
        </is>
      </c>
      <c r="B16" s="14" t="inlineStr">
        <is>
          <t>4 Bank Accounts</t>
        </is>
      </c>
      <c r="C16" s="14" t="inlineStr">
        <is>
          <t>Money/investing</t>
        </is>
      </c>
      <c r="D16" s="14" t="inlineStr">
        <is>
          <t>Bucket map</t>
        </is>
      </c>
      <c r="E16" s="14" t="inlineStr">
        <is>
          <t>Optional template</t>
        </is>
      </c>
    </row>
    <row r="17" ht="15" customHeight="1" s="10">
      <c r="A17" s="14" t="inlineStr">
        <is>
          <t>61e29dd3…</t>
        </is>
      </c>
      <c r="B17" s="14" t="inlineStr">
        <is>
          <t>50/30/20 Rule</t>
        </is>
      </c>
      <c r="C17" s="14" t="inlineStr">
        <is>
          <t>Money/investing</t>
        </is>
      </c>
      <c r="D17" s="14" t="inlineStr">
        <is>
          <t>Pie budget card</t>
        </is>
      </c>
      <c r="E17" s="14" t="inlineStr">
        <is>
          <t>'Framework not a religion'</t>
        </is>
      </c>
    </row>
    <row r="18" ht="15" customHeight="1" s="10">
      <c r="A18" s="14" t="inlineStr">
        <is>
          <t>da85a520…</t>
        </is>
      </c>
      <c r="B18" s="14" t="inlineStr">
        <is>
          <t>ETFs for Every Goal</t>
        </is>
      </c>
      <c r="C18" s="14" t="inlineStr">
        <is>
          <t>Money/investing</t>
        </is>
      </c>
      <c r="D18" s="14" t="inlineStr">
        <is>
          <t>Category cards</t>
        </is>
      </c>
      <c r="E18" s="14" t="inlineStr">
        <is>
          <t>Market data; halal screening needed</t>
        </is>
      </c>
    </row>
    <row r="19" ht="15" customHeight="1" s="10">
      <c r="A19" s="14" t="inlineStr">
        <is>
          <t>672c7075…</t>
        </is>
      </c>
      <c r="B19" s="14" t="inlineStr">
        <is>
          <t>Rental Income</t>
        </is>
      </c>
      <c r="C19" s="14" t="inlineStr">
        <is>
          <t>Income</t>
        </is>
      </c>
      <c r="D19" s="14" t="inlineStr">
        <is>
          <t>8-card icon grid</t>
        </is>
      </c>
      <c r="E19" s="14" t="inlineStr">
        <is>
          <t>Generic</t>
        </is>
      </c>
    </row>
    <row r="20" ht="15" customHeight="1" s="10">
      <c r="A20" s="14" t="inlineStr">
        <is>
          <t>e6105c12…</t>
        </is>
      </c>
      <c r="B20" s="14" t="inlineStr">
        <is>
          <t>100 AI Business Ideas</t>
        </is>
      </c>
      <c r="C20" s="14" t="inlineStr">
        <is>
          <t>Income</t>
        </is>
      </c>
      <c r="D20" s="14" t="inlineStr">
        <is>
          <t>Idea grid</t>
        </is>
      </c>
      <c r="E20" s="14" t="inlineStr">
        <is>
          <t>Generic list</t>
        </is>
      </c>
    </row>
    <row r="21" ht="15" customHeight="1" s="10">
      <c r="A21" s="14" t="inlineStr">
        <is>
          <t>f6d7b338…</t>
        </is>
      </c>
      <c r="B21" s="14" t="inlineStr">
        <is>
          <t>Sell Without Inventory</t>
        </is>
      </c>
      <c r="C21" s="14" t="inlineStr">
        <is>
          <t>Income</t>
        </is>
      </c>
      <c r="D21" s="14" t="inlineStr">
        <is>
          <t>Pro-tip cards</t>
        </is>
      </c>
      <c r="E21" s="14" t="inlineStr">
        <is>
          <t>Generic</t>
        </is>
      </c>
    </row>
    <row r="22" ht="15" customHeight="1" s="10">
      <c r="A22" s="14" t="inlineStr">
        <is>
          <t>673e6e67…</t>
        </is>
      </c>
      <c r="B22" s="14" t="inlineStr">
        <is>
          <t>25 Digital Products</t>
        </is>
      </c>
      <c r="C22" s="14" t="inlineStr">
        <is>
          <t>Income</t>
        </is>
      </c>
      <c r="D22" s="14" t="inlineStr">
        <is>
          <t>Category rows</t>
        </is>
      </c>
      <c r="E22" s="14" t="inlineStr">
        <is>
          <t>Generic</t>
        </is>
      </c>
    </row>
    <row r="23" ht="15" customHeight="1" s="10">
      <c r="A23" s="14" t="inlineStr">
        <is>
          <t>11df9a39…</t>
        </is>
      </c>
      <c r="B23" s="14" t="inlineStr">
        <is>
          <t>10 Passive Income Ideas</t>
        </is>
      </c>
      <c r="C23" s="14" t="inlineStr">
        <is>
          <t>Income</t>
        </is>
      </c>
      <c r="D23" s="14" t="inlineStr">
        <is>
          <t>Idea cards</t>
        </is>
      </c>
      <c r="E23" s="14" t="inlineStr">
        <is>
          <t>P2P interest lending = halal-check</t>
        </is>
      </c>
    </row>
    <row r="24" ht="15" customHeight="1" s="10">
      <c r="A24" s="14" t="inlineStr">
        <is>
          <t>e6267b01…</t>
        </is>
      </c>
      <c r="B24" s="14" t="inlineStr">
        <is>
          <t>16 AI Tools to Organize Workspace</t>
        </is>
      </c>
      <c r="C24" s="14" t="inlineStr">
        <is>
          <t>AI/tools</t>
        </is>
      </c>
      <c r="D24" s="14" t="inlineStr">
        <is>
          <t>Tool list</t>
        </is>
      </c>
      <c r="E24" s="14" t="inlineStr">
        <is>
          <t>Vendor-specific</t>
        </is>
      </c>
    </row>
    <row r="25" ht="15" customHeight="1" s="10">
      <c r="A25" s="14" t="inlineStr">
        <is>
          <t>fe77c1f9…</t>
        </is>
      </c>
      <c r="B25" s="14" t="inlineStr">
        <is>
          <t>Ways to Get More Clients</t>
        </is>
      </c>
      <c r="C25" s="14" t="inlineStr">
        <is>
          <t>Marketing</t>
        </is>
      </c>
      <c r="D25" s="14" t="inlineStr">
        <is>
          <t>Checklist</t>
        </is>
      </c>
      <c r="E25" s="14" t="inlineStr">
        <is>
          <t>Generic</t>
        </is>
      </c>
    </row>
    <row r="26" ht="15" customHeight="1" s="10">
      <c r="A26" s="14" t="inlineStr">
        <is>
          <t>b8e15501…</t>
        </is>
      </c>
      <c r="B26" s="14" t="inlineStr">
        <is>
          <t>Eye-catching Social Posts</t>
        </is>
      </c>
      <c r="C26" s="14" t="inlineStr">
        <is>
          <t>Marketing</t>
        </is>
      </c>
      <c r="D26" s="14" t="inlineStr">
        <is>
          <t>10-tip layout</t>
        </is>
      </c>
      <c r="E26" s="14" t="inlineStr">
        <is>
          <t>Generic</t>
        </is>
      </c>
    </row>
    <row r="27" ht="15" customHeight="1" s="10">
      <c r="A27" s="14" t="inlineStr">
        <is>
          <t>69db66f8…</t>
        </is>
      </c>
      <c r="B27" s="14" t="inlineStr">
        <is>
          <t>Top 10 Business Tips (Elon Musk)</t>
        </is>
      </c>
      <c r="C27" s="14" t="inlineStr">
        <is>
          <t>Role-model</t>
        </is>
      </c>
      <c r="D27" s="14" t="inlineStr">
        <is>
          <t>Numbered tip cards</t>
        </is>
      </c>
      <c r="E27" s="14" t="inlineStr">
        <is>
          <t>'Work obsessed' conflicts with capacity rule</t>
        </is>
      </c>
    </row>
    <row r="28" ht="15" customHeight="1" s="10">
      <c r="A28" s="14" t="inlineStr">
        <is>
          <t>18d8f862…</t>
        </is>
      </c>
      <c r="B28" s="14" t="inlineStr">
        <is>
          <t>Your Business Plan (trading loop)</t>
        </is>
      </c>
      <c r="C28" s="14" t="inlineStr">
        <is>
          <t>Money/investing</t>
        </is>
      </c>
      <c r="D28" s="14" t="inlineStr">
        <is>
          <t>Setup→trigger→entry→exit→review loop; 1% risk idea</t>
        </is>
      </c>
      <c r="E28" s="14" t="inlineStr">
        <is>
          <t>Speculative trading — halal-check</t>
        </is>
      </c>
    </row>
    <row r="29" ht="15" customHeight="1" s="10">
      <c r="A29" s="14" t="inlineStr">
        <is>
          <t>04640b31…</t>
        </is>
      </c>
      <c r="B29" s="14" t="inlineStr">
        <is>
          <t>10 Income Streams Worth Building</t>
        </is>
      </c>
      <c r="C29" s="14" t="inlineStr">
        <is>
          <t>Income</t>
        </is>
      </c>
      <c r="D29" s="14" t="inlineStr">
        <is>
          <t>Stream list</t>
        </is>
      </c>
      <c r="E29" s="14" t="inlineStr">
        <is>
          <t>Dividends/REIT need screening</t>
        </is>
      </c>
    </row>
    <row r="30" ht="15" customHeight="1" s="10">
      <c r="A30" s="14" t="inlineStr">
        <is>
          <t>7cba9b0f…</t>
        </is>
      </c>
      <c r="B30" s="14" t="inlineStr">
        <is>
          <t>Elon Musk Career Map</t>
        </is>
      </c>
      <c r="C30" s="14" t="inlineStr">
        <is>
          <t>Role-model</t>
        </is>
      </c>
      <c r="D30" s="14" t="inlineStr">
        <is>
          <t>Timeline path layout</t>
        </is>
      </c>
      <c r="E30" s="14" t="inlineStr">
        <is>
          <t>Facts unverified</t>
        </is>
      </c>
    </row>
    <row r="31" ht="15" customHeight="1" s="10">
      <c r="A31" s="14" t="inlineStr">
        <is>
          <t>3d5624c9…</t>
        </is>
      </c>
      <c r="B31" s="14" t="inlineStr">
        <is>
          <t>The Wealth Code (53 rules)</t>
        </is>
      </c>
      <c r="C31" s="14" t="inlineStr">
        <is>
          <t>Path/strategy</t>
        </is>
      </c>
      <c r="D31" s="14" t="inlineStr">
        <is>
          <t>6-pillar hub layout</t>
        </is>
      </c>
      <c r="E31" s="14" t="inlineStr">
        <is>
          <t>Slogans</t>
        </is>
      </c>
    </row>
    <row r="32" ht="15" customHeight="1" s="10">
      <c r="A32" s="14" t="inlineStr">
        <is>
          <t>e3b01239…</t>
        </is>
      </c>
      <c r="B32" s="14" t="inlineStr">
        <is>
          <t>How McDonald's Makes Billions</t>
        </is>
      </c>
      <c r="C32" s="14" t="inlineStr">
        <is>
          <t>Role-model</t>
        </is>
      </c>
      <c r="D32" s="14" t="inlineStr">
        <is>
          <t>Systems-not-product; franchise+real estate model</t>
        </is>
      </c>
      <c r="E32" s="14" t="inlineStr">
        <is>
          <t>Figures unverified</t>
        </is>
      </c>
    </row>
    <row r="33" ht="15" customHeight="1" s="10">
      <c r="A33" s="14" t="inlineStr">
        <is>
          <t>321aff8d…</t>
        </is>
      </c>
      <c r="B33" s="14" t="inlineStr">
        <is>
          <t>The Family Bank Strategy</t>
        </is>
      </c>
      <c r="C33" s="14" t="inlineStr">
        <is>
          <t>Money/investing</t>
        </is>
      </c>
      <c r="D33" s="14" t="inlineStr">
        <is>
          <t>10-step flow</t>
        </is>
      </c>
      <c r="E33" s="14" t="inlineStr">
        <is>
          <t>Insurance/borrowing — halal-check; unverified</t>
        </is>
      </c>
    </row>
    <row r="34" ht="15" customHeight="1" s="10">
      <c r="A34" s="14" t="inlineStr">
        <is>
          <t>69315f73…</t>
        </is>
      </c>
      <c r="B34" s="14" t="inlineStr">
        <is>
          <t>Monopoly Business (Hindi)</t>
        </is>
      </c>
      <c r="C34" s="14" t="inlineStr">
        <is>
          <t>Role-model</t>
        </is>
      </c>
      <c r="D34" s="14" t="inlineStr">
        <is>
          <t>Concept cards</t>
        </is>
      </c>
      <c r="E34" s="14" t="inlineStr">
        <is>
          <t>Predatory pricing unethical — do not adopt</t>
        </is>
      </c>
    </row>
    <row r="35" ht="15" customHeight="1" s="10">
      <c r="A35" s="14" t="inlineStr">
        <is>
          <t>68d5a74d…</t>
        </is>
      </c>
      <c r="B35" s="14" t="inlineStr">
        <is>
          <t>I Am Trillionaire</t>
        </is>
      </c>
      <c r="C35" s="14" t="inlineStr">
        <is>
          <t>Vision/motivation</t>
        </is>
      </c>
      <c r="D35" s="14" t="inlineStr">
        <is>
          <t>Vision-board idea</t>
        </is>
      </c>
      <c r="E35" s="14" t="inlineStr">
        <is>
          <t>Luxury/affirmation tone ≠ product values</t>
        </is>
      </c>
    </row>
    <row r="36" ht="15" customHeight="1" s="10">
      <c r="A36" s="14" t="inlineStr">
        <is>
          <t>d1a037d9…</t>
        </is>
      </c>
      <c r="B36" s="14" t="inlineStr">
        <is>
          <t>Elon's Businesses (trillionaire claim)</t>
        </is>
      </c>
      <c r="C36" s="14" t="inlineStr">
        <is>
          <t>Role-model</t>
        </is>
      </c>
      <c r="D36" s="14" t="inlineStr">
        <is>
          <t>Portfolio map layout</t>
        </is>
      </c>
      <c r="E36" s="14" t="inlineStr">
        <is>
          <t>Net-worth claims unverified</t>
        </is>
      </c>
    </row>
    <row r="37" ht="15" customHeight="1" s="10">
      <c r="A37" s="14" t="inlineStr">
        <is>
          <t>db92b098…</t>
        </is>
      </c>
      <c r="B37" s="14" t="inlineStr">
        <is>
          <t>20 Tips for Billionaire Success</t>
        </is>
      </c>
      <c r="C37" s="14" t="inlineStr">
        <is>
          <t>Path/strategy</t>
        </is>
      </c>
      <c r="D37" s="14" t="inlineStr">
        <is>
          <t>Checklist</t>
        </is>
      </c>
      <c r="E37" s="14" t="inlineStr">
        <is>
          <t>Typos; generic</t>
        </is>
      </c>
    </row>
    <row r="38" ht="15" customHeight="1" s="10">
      <c r="A38" s="14" t="inlineStr">
        <is>
          <t>5801572f…</t>
        </is>
      </c>
      <c r="B38" s="14" t="inlineStr">
        <is>
          <t>8 Documentaries about Billionaires</t>
        </is>
      </c>
      <c r="C38" s="14" t="inlineStr">
        <is>
          <t>Role-model</t>
        </is>
      </c>
      <c r="D38" s="14" t="inlineStr">
        <is>
          <t>Learning-library idea</t>
        </is>
      </c>
      <c r="E38" s="14" t="inlineStr">
        <is>
          <t>Titles unverified</t>
        </is>
      </c>
    </row>
    <row r="39" ht="15" customHeight="1" s="10">
      <c r="A39" s="14" t="inlineStr">
        <is>
          <t>9e642441…</t>
        </is>
      </c>
      <c r="B39" s="14" t="inlineStr">
        <is>
          <t>Future Trillionaire (collage)</t>
        </is>
      </c>
      <c r="C39" s="14" t="inlineStr">
        <is>
          <t>Vision/motivation</t>
        </is>
      </c>
      <c r="D39" s="14" t="inlineStr">
        <is>
          <t>Mood-board idea</t>
        </is>
      </c>
      <c r="E39" s="14" t="inlineStr">
        <is>
          <t>Lifestyle imagery only</t>
        </is>
      </c>
    </row>
    <row r="40" ht="15" customHeight="1" s="10">
      <c r="A40" s="14" t="inlineStr">
        <is>
          <t>dae4153b…</t>
        </is>
      </c>
      <c r="B40" s="14" t="inlineStr">
        <is>
          <t>Roadmap: Zero to Billion</t>
        </is>
      </c>
      <c r="C40" s="14" t="inlineStr">
        <is>
          <t>Path/strategy</t>
        </is>
      </c>
      <c r="D40" s="14" t="inlineStr">
        <is>
          <t>4-phase path (Foundation, Credibility, Scaling, Wealth)</t>
        </is>
      </c>
      <c r="E40" s="14" t="inlineStr">
        <is>
          <t>Maps to gates G-A…G-H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130" customWidth="1" style="9" min="2" max="2"/>
  </cols>
  <sheetData>
    <row r="1" ht="15.75" customHeight="1" s="10">
      <c r="A1" s="11" t="inlineStr">
        <is>
          <t>CHANGE LOG v1.x → v2.0</t>
        </is>
      </c>
    </row>
    <row r="3" ht="15" customHeight="1" s="10">
      <c r="A3" s="12" t="inlineStr">
        <is>
          <t>Type</t>
        </is>
      </c>
      <c r="B3" s="12" t="inlineStr">
        <is>
          <t>Change</t>
        </is>
      </c>
    </row>
    <row r="4" ht="15" customHeight="1" s="10">
      <c r="A4" s="14" t="inlineStr">
        <is>
          <t>Added</t>
        </is>
      </c>
      <c r="B4" s="14" t="inlineStr">
        <is>
          <t>Origin, Intent link, R-priority, First/Must-pass gate, Scope tag, Blocked-by columns</t>
        </is>
      </c>
    </row>
    <row r="5" ht="15" customHeight="1" s="10">
      <c r="A5" s="14" t="inlineStr">
        <is>
          <t>Added</t>
        </is>
      </c>
      <c r="B5" s="14" t="inlineStr">
        <is>
          <t>31 new requirements TM-REQ-142…172 (MR-01…31): 23 from the audit gaps + 8 from the user's own 22 Oct statements</t>
        </is>
      </c>
    </row>
    <row r="6" ht="15" customHeight="1" s="10">
      <c r="A6" s="14" t="inlineStr">
        <is>
          <t>Added</t>
        </is>
      </c>
      <c r="B6" s="14" t="inlineStr">
        <is>
          <t>12 new intents INT-25…36 (user statements 22 Oct 02:24–03:02)</t>
        </is>
      </c>
    </row>
    <row r="7" ht="15" customHeight="1" s="10">
      <c r="A7" s="14" t="inlineStr">
        <is>
          <t>Changed</t>
        </is>
      </c>
      <c r="B7" s="14" t="inlineStr">
        <is>
          <t>All 141 v1 tests replaced with measurable tests; v1 'Expected result' boilerplate removed</t>
        </is>
      </c>
    </row>
    <row r="8" ht="15" customHeight="1" s="10">
      <c r="A8" s="14" t="inlineStr">
        <is>
          <t>Changed</t>
        </is>
      </c>
      <c r="B8" s="14" t="inlineStr">
        <is>
          <t>Phase vocabulary replaced by Gates G0–G8; 13 mixed-phase rows resolved to one first/must-pass value</t>
        </is>
      </c>
    </row>
    <row r="9" ht="15" customHeight="1" s="10">
      <c r="A9" s="14" t="inlineStr">
        <is>
          <t>Changed</t>
        </is>
      </c>
      <c r="B9" s="14" t="inlineStr">
        <is>
          <t>Priority: R0/R1/R2 defined; v1 P0 (71) kept in history column</t>
        </is>
      </c>
    </row>
    <row r="10" ht="15" customHeight="1" s="10">
      <c r="A10" s="14" t="inlineStr">
        <is>
          <t>Merged</t>
        </is>
      </c>
      <c r="B10" s="14" t="inlineStr">
        <is>
          <t>TM-REQ-135→126, TM-REQ-141→120 (rows kept, marked)</t>
        </is>
      </c>
    </row>
    <row r="11" ht="15" customHeight="1" s="10">
      <c r="A11" s="14" t="inlineStr">
        <is>
          <t>Resolved</t>
        </is>
      </c>
      <c r="B11" s="14" t="inlineStr">
        <is>
          <t>Conflicts X1–X9; decisions D-A…D-E; deferrals DF-01…10</t>
        </is>
      </c>
    </row>
    <row r="12" ht="15" customHeight="1" s="10">
      <c r="A12" s="14" t="inlineStr">
        <is>
          <t>Corrected</t>
        </is>
      </c>
      <c r="B12" s="14" t="inlineStr">
        <is>
          <t>Earlier estimate '≈158 requirements' superseded: actual 172 rows (170 active)</t>
        </is>
      </c>
    </row>
    <row r="13" ht="15" customHeight="1" s="10">
      <c r="A13" s="14" t="inlineStr">
        <is>
          <t>Open</t>
        </is>
      </c>
      <c r="B13" s="14" t="inlineStr">
        <is>
          <t>Original 3 source documents not attached; Intent-link is domain-level default pending G0 refinement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2026-10-21T21:09:36Z</dcterms:created>
  <dcterms:modified xmlns:dcterms="http://purl.org/dc/terms/" xmlns:xsi="http://www.w3.org/2001/XMLSchema-instance" xsi:type="dcterms:W3CDTF">2026-10-24T09:31:02Z</dcterms:modified>
  <cp:revision>0</cp:revision>
</cp:coreProperties>
</file>